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5ÈMES" sheetId="1" r:id="rId1"/>
    <sheet name="4ÈMES" sheetId="2" r:id="rId2"/>
  </sheets>
  <calcPr calcId="162913"/>
</workbook>
</file>

<file path=xl/sharedStrings.xml><?xml version="1.0" encoding="utf-8"?>
<sst xmlns="http://schemas.openxmlformats.org/spreadsheetml/2006/main" count="305" uniqueCount="305">
  <si>
    <t>ABRAHAM</t>
  </si>
  <si>
    <t>Pablo</t>
  </si>
  <si>
    <t>5EME4</t>
  </si>
  <si>
    <t>5EME</t>
  </si>
  <si>
    <t>AIMÉ</t>
  </si>
  <si>
    <t>Léna</t>
  </si>
  <si>
    <t>5EME3</t>
  </si>
  <si>
    <t xml:space="preserve">5EME ULIS</t>
  </si>
  <si>
    <t>ALLAIS</t>
  </si>
  <si>
    <t>Eden</t>
  </si>
  <si>
    <t>5EME2</t>
  </si>
  <si>
    <t>ALOUI</t>
  </si>
  <si>
    <t>Sarah</t>
  </si>
  <si>
    <t xml:space="preserve">5EME DANSE</t>
  </si>
  <si>
    <t>BALDUC</t>
  </si>
  <si>
    <t>Clément</t>
  </si>
  <si>
    <t>BENOIT</t>
  </si>
  <si>
    <t>Leelou</t>
  </si>
  <si>
    <t>BOUDET</t>
  </si>
  <si>
    <t>Leo</t>
  </si>
  <si>
    <t>BOULARES</t>
  </si>
  <si>
    <t>Ilyes</t>
  </si>
  <si>
    <t>BRIET</t>
  </si>
  <si>
    <t>Lali</t>
  </si>
  <si>
    <t>Zéa</t>
  </si>
  <si>
    <t>CABON</t>
  </si>
  <si>
    <t>Hervé</t>
  </si>
  <si>
    <t>CAUCHY</t>
  </si>
  <si>
    <t>Coline</t>
  </si>
  <si>
    <t>COCHARD</t>
  </si>
  <si>
    <t>Imani</t>
  </si>
  <si>
    <t>COURTOIS</t>
  </si>
  <si>
    <t>Maël</t>
  </si>
  <si>
    <t xml:space="preserve">COURTOIS CARRE</t>
  </si>
  <si>
    <t>Océane</t>
  </si>
  <si>
    <t>DEMIR</t>
  </si>
  <si>
    <t>Enes</t>
  </si>
  <si>
    <t>DENIS</t>
  </si>
  <si>
    <t>Clairina</t>
  </si>
  <si>
    <t>Layla</t>
  </si>
  <si>
    <t>DIOLOGENT</t>
  </si>
  <si>
    <t>Cerise</t>
  </si>
  <si>
    <t>DOLIGER</t>
  </si>
  <si>
    <t>Madhox</t>
  </si>
  <si>
    <t>DUMITRU</t>
  </si>
  <si>
    <t>Valentin-David</t>
  </si>
  <si>
    <t>DZAMANI</t>
  </si>
  <si>
    <t>Daniel</t>
  </si>
  <si>
    <t>ELOY</t>
  </si>
  <si>
    <t>Kaïss</t>
  </si>
  <si>
    <t>ERDOGAN</t>
  </si>
  <si>
    <t>Halil-Ilhan</t>
  </si>
  <si>
    <t>FAWER</t>
  </si>
  <si>
    <t>Lucas</t>
  </si>
  <si>
    <t>FOFANA</t>
  </si>
  <si>
    <t>Leila</t>
  </si>
  <si>
    <t>FRECHON</t>
  </si>
  <si>
    <t>Cyrille</t>
  </si>
  <si>
    <t>GODARD</t>
  </si>
  <si>
    <t>Kenzo</t>
  </si>
  <si>
    <t xml:space="preserve">GODRY GIRARD</t>
  </si>
  <si>
    <t>Kyllian</t>
  </si>
  <si>
    <t>GOLTAIE</t>
  </si>
  <si>
    <t>Alexandre</t>
  </si>
  <si>
    <t>HAMARD</t>
  </si>
  <si>
    <t>Raphael</t>
  </si>
  <si>
    <t>HEBERT</t>
  </si>
  <si>
    <t>Luna</t>
  </si>
  <si>
    <t>HENOS</t>
  </si>
  <si>
    <t>Gabrielle</t>
  </si>
  <si>
    <t>HERMAY</t>
  </si>
  <si>
    <t>Seven</t>
  </si>
  <si>
    <t>JOBIN</t>
  </si>
  <si>
    <t>Tiana</t>
  </si>
  <si>
    <t>JOLY</t>
  </si>
  <si>
    <t>Emma</t>
  </si>
  <si>
    <t>JUGANT</t>
  </si>
  <si>
    <t>Tewis</t>
  </si>
  <si>
    <t xml:space="preserve">LE BECHEC</t>
  </si>
  <si>
    <t>Tom</t>
  </si>
  <si>
    <t>LEBOURG</t>
  </si>
  <si>
    <t>Gabin</t>
  </si>
  <si>
    <t>LECOQ</t>
  </si>
  <si>
    <t>Leïlany</t>
  </si>
  <si>
    <t>LEFEBVRE</t>
  </si>
  <si>
    <t>Isis</t>
  </si>
  <si>
    <t>LEMAIRE</t>
  </si>
  <si>
    <t>Sevan</t>
  </si>
  <si>
    <t>MAGNIER</t>
  </si>
  <si>
    <t>Maeron</t>
  </si>
  <si>
    <t xml:space="preserve">MAHIEU GIRARD</t>
  </si>
  <si>
    <t>Abbygaelle</t>
  </si>
  <si>
    <t>MASURIER</t>
  </si>
  <si>
    <t>Lucie</t>
  </si>
  <si>
    <t>MERZOUK</t>
  </si>
  <si>
    <t>Yasmine</t>
  </si>
  <si>
    <t>MONTAROU</t>
  </si>
  <si>
    <t>Thiago</t>
  </si>
  <si>
    <t>MORABANDZA</t>
  </si>
  <si>
    <t>Rolde</t>
  </si>
  <si>
    <t xml:space="preserve">5 UPE ALLOPHONES ARRIVANTS</t>
  </si>
  <si>
    <t>MORVILLIERS</t>
  </si>
  <si>
    <t>Kylian</t>
  </si>
  <si>
    <t>NAMBIEMA</t>
  </si>
  <si>
    <t>Lochina</t>
  </si>
  <si>
    <t>OGUNTOYINBO</t>
  </si>
  <si>
    <t>Jomiloju</t>
  </si>
  <si>
    <t>PALADE</t>
  </si>
  <si>
    <t>Chloé</t>
  </si>
  <si>
    <t xml:space="preserve">PRIEUR BODOT</t>
  </si>
  <si>
    <t>Rose</t>
  </si>
  <si>
    <t>RABORT</t>
  </si>
  <si>
    <t>Thélio</t>
  </si>
  <si>
    <t>ROUSSEL</t>
  </si>
  <si>
    <t>Tymea</t>
  </si>
  <si>
    <t>SAINT-AUBIN</t>
  </si>
  <si>
    <t>Owen</t>
  </si>
  <si>
    <t>SANNIER</t>
  </si>
  <si>
    <t>Matys</t>
  </si>
  <si>
    <t>SEGARD</t>
  </si>
  <si>
    <t>Leena</t>
  </si>
  <si>
    <t>SEVIEN-ANFRAY</t>
  </si>
  <si>
    <t>Celya</t>
  </si>
  <si>
    <t>SEVOYAN</t>
  </si>
  <si>
    <t>Marlina</t>
  </si>
  <si>
    <t>SOINARD</t>
  </si>
  <si>
    <t>Ethan</t>
  </si>
  <si>
    <t>SOULLEZ</t>
  </si>
  <si>
    <t>Gaspard</t>
  </si>
  <si>
    <t>SPITZNAGEL</t>
  </si>
  <si>
    <t>Hayley</t>
  </si>
  <si>
    <t xml:space="preserve">SURAIS GOSSE</t>
  </si>
  <si>
    <t>Dylan</t>
  </si>
  <si>
    <t>SURET</t>
  </si>
  <si>
    <t>Clémence</t>
  </si>
  <si>
    <t>VALLOIS</t>
  </si>
  <si>
    <t>Gino</t>
  </si>
  <si>
    <t>WEISS</t>
  </si>
  <si>
    <t>Wesley</t>
  </si>
  <si>
    <t>ZIADI</t>
  </si>
  <si>
    <t>Jennah</t>
  </si>
  <si>
    <t>LV2</t>
  </si>
  <si>
    <t>CLASSE</t>
  </si>
  <si>
    <t>ÉLÈVE</t>
  </si>
  <si>
    <t>ALLEMAND</t>
  </si>
  <si>
    <t>ESPAGNOL</t>
  </si>
  <si>
    <t>ITALIEN</t>
  </si>
  <si>
    <t>espagnol</t>
  </si>
  <si>
    <t>italien</t>
  </si>
  <si>
    <t>allemand</t>
  </si>
  <si>
    <t>5°2</t>
  </si>
  <si>
    <t xml:space="preserve">LV2 NON SUIVIE</t>
  </si>
  <si>
    <t xml:space="preserve">non suivie</t>
  </si>
  <si>
    <t>5°3</t>
  </si>
  <si>
    <t>5°4</t>
  </si>
  <si>
    <t>OPTIONS</t>
  </si>
  <si>
    <t>VOILE</t>
  </si>
  <si>
    <t>LCE</t>
  </si>
  <si>
    <t>LATIN</t>
  </si>
  <si>
    <t>X</t>
  </si>
  <si>
    <t>voile</t>
  </si>
  <si>
    <t>latin</t>
  </si>
  <si>
    <t>4°2</t>
  </si>
  <si>
    <t>4°3</t>
  </si>
  <si>
    <t>4°4</t>
  </si>
  <si>
    <t>ANQUETIN</t>
  </si>
  <si>
    <t>Kellyan</t>
  </si>
  <si>
    <t>4EME2</t>
  </si>
  <si>
    <t>4EME</t>
  </si>
  <si>
    <t>BELLET</t>
  </si>
  <si>
    <t>Jessica</t>
  </si>
  <si>
    <t xml:space="preserve">4EME DANSE</t>
  </si>
  <si>
    <t>BOUARGUIOUN</t>
  </si>
  <si>
    <t>Nassima</t>
  </si>
  <si>
    <t>BRETAGNE</t>
  </si>
  <si>
    <t>Mya</t>
  </si>
  <si>
    <t>CARRÉ</t>
  </si>
  <si>
    <t>DELEAU</t>
  </si>
  <si>
    <t>Benjamin</t>
  </si>
  <si>
    <t xml:space="preserve">4EME ULIS</t>
  </si>
  <si>
    <t>DENOUETTE</t>
  </si>
  <si>
    <t>Loane</t>
  </si>
  <si>
    <t>DORÉ-DEVILLERS</t>
  </si>
  <si>
    <t>Shanone</t>
  </si>
  <si>
    <t>DURAN</t>
  </si>
  <si>
    <t>Leyla</t>
  </si>
  <si>
    <t>ENYEGUE</t>
  </si>
  <si>
    <t>Annaelle</t>
  </si>
  <si>
    <t>GOSSELIN</t>
  </si>
  <si>
    <t>Ashley</t>
  </si>
  <si>
    <t xml:space="preserve">GUEYE SARR</t>
  </si>
  <si>
    <t>Fatou</t>
  </si>
  <si>
    <t>HAMADACHE</t>
  </si>
  <si>
    <t>Shynez</t>
  </si>
  <si>
    <t>HUGUENIN</t>
  </si>
  <si>
    <t>Séléna</t>
  </si>
  <si>
    <t>LAPIERRE</t>
  </si>
  <si>
    <t>Shannon</t>
  </si>
  <si>
    <t>LAURENCE</t>
  </si>
  <si>
    <t>Erick</t>
  </si>
  <si>
    <t>LEGROUT</t>
  </si>
  <si>
    <t>Emy</t>
  </si>
  <si>
    <t>Mathéo</t>
  </si>
  <si>
    <t>Liyes</t>
  </si>
  <si>
    <t>MURAT</t>
  </si>
  <si>
    <t>Blanche</t>
  </si>
  <si>
    <t>POULAIN</t>
  </si>
  <si>
    <t>Caly</t>
  </si>
  <si>
    <t>RIMBERT</t>
  </si>
  <si>
    <t>ROSAY</t>
  </si>
  <si>
    <t>Marjory</t>
  </si>
  <si>
    <t>SENECAL</t>
  </si>
  <si>
    <t>Jeanne-Eden</t>
  </si>
  <si>
    <t xml:space="preserve">LV 2 NON SUIVIE</t>
  </si>
  <si>
    <t xml:space="preserve">ANTONIO LUKOKI</t>
  </si>
  <si>
    <t xml:space="preserve">Zinga Miriam</t>
  </si>
  <si>
    <t>4EME3</t>
  </si>
  <si>
    <t xml:space="preserve">4 UPE ALLOPHONES ARRIVANTS</t>
  </si>
  <si>
    <t>AUVRAY</t>
  </si>
  <si>
    <t>Cassy</t>
  </si>
  <si>
    <t>AYDOGAN</t>
  </si>
  <si>
    <t>Zeynep</t>
  </si>
  <si>
    <t>BATAILLE</t>
  </si>
  <si>
    <t>BEDET</t>
  </si>
  <si>
    <t>Léhoni</t>
  </si>
  <si>
    <t>CADOU</t>
  </si>
  <si>
    <t>Lola</t>
  </si>
  <si>
    <t>CHERNOV</t>
  </si>
  <si>
    <t>CHINAUD</t>
  </si>
  <si>
    <t>Pauline</t>
  </si>
  <si>
    <t>COUBEL</t>
  </si>
  <si>
    <t>Valentin</t>
  </si>
  <si>
    <t>DAMIENS</t>
  </si>
  <si>
    <t>Hélina</t>
  </si>
  <si>
    <t>DJORDJEVIC</t>
  </si>
  <si>
    <t>Chanel</t>
  </si>
  <si>
    <t>FAYOLLE--HERISSON</t>
  </si>
  <si>
    <t>Matthys</t>
  </si>
  <si>
    <t>FERON</t>
  </si>
  <si>
    <t>FERRAPIE</t>
  </si>
  <si>
    <t>Theo</t>
  </si>
  <si>
    <t>FERRY</t>
  </si>
  <si>
    <t>Rafael</t>
  </si>
  <si>
    <t>HUSSAIN</t>
  </si>
  <si>
    <t>Marjan</t>
  </si>
  <si>
    <t>LANGLOIS</t>
  </si>
  <si>
    <t>Hemgy</t>
  </si>
  <si>
    <t>LEGAY</t>
  </si>
  <si>
    <t>Lindsey</t>
  </si>
  <si>
    <t>LEVASSEUR</t>
  </si>
  <si>
    <t>Morgan</t>
  </si>
  <si>
    <t>PEREZ</t>
  </si>
  <si>
    <t>PHILIPPOTEAUX</t>
  </si>
  <si>
    <t>Nathan</t>
  </si>
  <si>
    <t>SERTOGLU</t>
  </si>
  <si>
    <t>Oktay</t>
  </si>
  <si>
    <t>STERIN</t>
  </si>
  <si>
    <t>Solal</t>
  </si>
  <si>
    <t>THUILLIER</t>
  </si>
  <si>
    <t>Mathis</t>
  </si>
  <si>
    <t>TRUPEL</t>
  </si>
  <si>
    <t>Maëlle</t>
  </si>
  <si>
    <t>ARENT</t>
  </si>
  <si>
    <t>Tiphaine</t>
  </si>
  <si>
    <t>4EME4</t>
  </si>
  <si>
    <t>BANCE</t>
  </si>
  <si>
    <t>Théo</t>
  </si>
  <si>
    <t>BIARRÉ</t>
  </si>
  <si>
    <t>Evan</t>
  </si>
  <si>
    <t>CAKIR</t>
  </si>
  <si>
    <t>Ecrin</t>
  </si>
  <si>
    <t xml:space="preserve">CALEB MICHEL AWADA</t>
  </si>
  <si>
    <t>Paul</t>
  </si>
  <si>
    <t>DEHAYES</t>
  </si>
  <si>
    <t>Célian</t>
  </si>
  <si>
    <t>DELAMARE</t>
  </si>
  <si>
    <t>Hugo</t>
  </si>
  <si>
    <t>DIROU</t>
  </si>
  <si>
    <t>Malo</t>
  </si>
  <si>
    <t>DUBOST</t>
  </si>
  <si>
    <t>FONTAINE</t>
  </si>
  <si>
    <t>Enzo</t>
  </si>
  <si>
    <t>Lena</t>
  </si>
  <si>
    <t>GOUJEON-CAPPE</t>
  </si>
  <si>
    <t>Gabriel</t>
  </si>
  <si>
    <t>GÜLER</t>
  </si>
  <si>
    <t>Furkan-Emir</t>
  </si>
  <si>
    <t xml:space="preserve">LE DEORE</t>
  </si>
  <si>
    <t>Inaya</t>
  </si>
  <si>
    <t>LECONTE</t>
  </si>
  <si>
    <t>Keryann</t>
  </si>
  <si>
    <t>LEGER</t>
  </si>
  <si>
    <t>LEGRAND</t>
  </si>
  <si>
    <t>Molly</t>
  </si>
  <si>
    <t>Kahina</t>
  </si>
  <si>
    <t>MOTTE</t>
  </si>
  <si>
    <t>Pierre</t>
  </si>
  <si>
    <t>MULOT</t>
  </si>
  <si>
    <t>Lhéa</t>
  </si>
  <si>
    <t>NKULA</t>
  </si>
  <si>
    <t>Hélène</t>
  </si>
  <si>
    <t>RAMBERG</t>
  </si>
  <si>
    <t>Kamélia</t>
  </si>
  <si>
    <t>TETU</t>
  </si>
  <si>
    <t>Shanez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</si>
</sst>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/>
      </patternFill>
    </fill>
    <fill>
      <patternFill patternType="solid">
        <fgColor theme="7" tint="0.79998168889431442"/>
        <bgColor/>
      </patternFill>
    </fill>
    <fill>
      <patternFill patternType="solid">
        <fgColor theme="9" tint="0.79998168889431442"/>
        <bgColor/>
      </patternFill>
    </fill>
    <fill>
      <patternFill patternType="solid">
        <fgColor theme="4" tint="0.59999389629810485"/>
        <bgColor/>
      </patternFill>
    </fill>
  </fills>
  <borders count="12"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/>
      <diagonal/>
    </border>
    <border>
      <left style="thin">
        <color/>
      </left>
      <right style="thin">
        <color/>
      </right>
      <top style="thick">
        <color/>
      </top>
      <bottom style="thin">
        <color/>
      </bottom>
      <diagonal/>
    </border>
    <border>
      <left style="thin">
        <color/>
      </left>
      <right/>
      <top style="thin">
        <color/>
      </top>
      <bottom/>
      <diagonal/>
    </border>
    <border>
      <left/>
      <right style="thin">
        <color/>
      </right>
      <top style="thin">
        <color/>
      </top>
      <bottom/>
      <diagonal/>
    </border>
    <border>
      <left style="thin">
        <color/>
      </left>
      <right/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medium">
        <color/>
      </bottom>
      <diagonal/>
    </border>
    <border>
      <left style="thin">
        <color/>
      </left>
      <right style="thin">
        <color/>
      </right>
      <top style="medium">
        <color/>
      </top>
      <bottom style="thin">
        <color/>
      </bottom>
      <diagonal/>
    </border>
    <border>
      <left style="thin">
        <color/>
      </left>
      <right style="thin">
        <color/>
      </right>
      <top style="medium">
        <color/>
      </top>
      <bottom/>
      <diagonal/>
    </border>
  </borders>
  <cellStyleXfs count="1">
    <xf fontId="0" fillId="0" borderId="0" numFmtId="0"/>
  </cellStyleXfs>
  <cellXfs count="33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0" fillId="0" borderId="1" numFmtId="0" xfId="0" applyBorder="1"/>
    <xf fontId="0" fillId="0" borderId="2" numFmtId="0" xfId="0" applyBorder="1"/>
    <xf fontId="0" fillId="0" borderId="3" numFmtId="0" xfId="0" applyBorder="1"/>
    <xf fontId="0" fillId="0" borderId="1" numFmtId="0" xfId="0" applyFill="1" applyBorder="1"/>
    <xf fontId="1" fillId="2" borderId="1" numFmtId="0" xfId="0" applyFont="1" applyFill="1" applyBorder="1" applyAlignment="1">
      <alignment horizontal="center" vertical="center"/>
    </xf>
    <xf fontId="0" fillId="0" borderId="0" numFmtId="0" xfId="0" applyBorder="1"/>
    <xf fontId="0" fillId="0" borderId="1" numFmtId="0" xfId="0" applyBorder="1" applyAlignment="1">
      <alignment horizontal="center"/>
    </xf>
    <xf fontId="0" fillId="0" borderId="2" numFmtId="0" xfId="0" applyBorder="1" applyAlignment="1">
      <alignment horizontal="center"/>
    </xf>
    <xf fontId="0" fillId="0" borderId="3" numFmtId="0" xfId="0" applyBorder="1" applyAlignment="1">
      <alignment horizontal="center"/>
    </xf>
    <xf fontId="0" fillId="0" borderId="8" numFmtId="0" xfId="0" applyFill="1" applyBorder="1"/>
    <xf fontId="0" fillId="0" borderId="9" numFmtId="0" xfId="0" applyFill="1" applyBorder="1"/>
    <xf fontId="0" fillId="0" borderId="10" numFmtId="0" xfId="0" applyBorder="1"/>
    <xf fontId="0" fillId="0" borderId="2" numFmtId="0" xfId="0" applyFill="1" applyBorder="1"/>
    <xf fontId="0" fillId="0" borderId="10" numFmtId="0" xfId="0" applyFill="1" applyBorder="1"/>
    <xf fontId="0" fillId="0" borderId="11" numFmtId="0" xfId="0" applyBorder="1"/>
    <xf fontId="0" fillId="0" borderId="10" numFmtId="0" xfId="0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5" borderId="1" numFmtId="0" xfId="0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0" fillId="3" borderId="1" numFmtId="0" xfId="0" applyFill="1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0" fillId="4" borderId="1" numFmtId="0" xfId="0" applyFill="1" applyBorder="1" applyAlignment="1">
      <alignment horizontal="center" vertical="center"/>
    </xf>
    <xf fontId="1" fillId="2" borderId="4" numFmtId="0" xfId="0" applyFont="1" applyFill="1" applyBorder="1" applyAlignment="1">
      <alignment horizontal="center" vertical="center"/>
    </xf>
    <xf fontId="1" fillId="2" borderId="5" numFmtId="0" xfId="0" applyFont="1" applyFill="1" applyBorder="1" applyAlignment="1">
      <alignment horizontal="center" vertical="center"/>
    </xf>
    <xf fontId="1" fillId="2" borderId="6" numFmtId="0" xfId="0" applyFont="1" applyFill="1" applyBorder="1" applyAlignment="1">
      <alignment horizontal="center" vertical="center"/>
    </xf>
    <xf fontId="1" fillId="2" borderId="7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1" fillId="2" borderId="8" numFmtId="0" xfId="0" applyFont="1" applyFill="1" applyBorder="1" applyAlignment="1">
      <alignment horizontal="center" vertical="center"/>
    </xf>
    <xf fontId="0" fillId="2" borderId="1" numFmtId="0" xfId="0" applyFill="1" applyBorder="1" applyAlignment="1">
      <alignment horizontal="center" vertical="center"/>
    </xf>
    <xf fontId="0" fillId="2" borderId="2" numFmtId="0" xfId="0" applyFill="1" applyBorder="1" applyAlignment="1">
      <alignment horizontal="center" vertical="center"/>
    </xf>
    <xf fontId="0" fillId="2" borderId="9" numFmt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>
      <pane ySplit="2" topLeftCell="A3" activePane="bottomLeft" state="frozen"/>
      <selection pane="bottomLeft" activeCell="J7" sqref="J7:M31"/>
    </sheetView>
  </sheetViews>
  <sheetFormatPr baseColWidth="10" defaultRowHeight="15"/>
  <cols>
    <col bestFit="1" customWidth="1" min="1" max="1" width="16.28515625"/>
    <col bestFit="1" customWidth="1" min="2" max="2" width="10.140625"/>
    <col customWidth="1" min="3" max="3" width="12"/>
    <col bestFit="1" customWidth="1" min="4" max="4" width="29"/>
    <col customWidth="1" min="5" max="5" width="15.28515625"/>
    <col customWidth="1" min="6" max="8" width="9.7109375"/>
    <col customWidth="1" min="13" max="13" width="11"/>
  </cols>
  <sheetData>
    <row r="1" ht="30" customHeight="1">
      <c r="A1" s="24" t="s">
        <v>143</v>
      </c>
      <c r="B1" s="25"/>
      <c r="C1" s="24" t="s">
        <v>142</v>
      </c>
      <c r="D1" s="25"/>
      <c r="E1" s="28" t="s">
        <v>141</v>
      </c>
      <c r="F1" s="20" t="s">
        <v>155</v>
      </c>
      <c r="G1" s="20"/>
      <c r="H1" s="20"/>
    </row>
    <row r="2" ht="30" customHeight="1">
      <c r="A2" s="26"/>
      <c r="B2" s="27"/>
      <c r="C2" s="26"/>
      <c r="D2" s="27"/>
      <c r="E2" s="29"/>
      <c r="F2" s="1" t="s">
        <v>156</v>
      </c>
      <c r="G2" s="1" t="s">
        <v>157</v>
      </c>
      <c r="H2" s="1" t="s">
        <v>158</v>
      </c>
    </row>
    <row r="3">
      <c r="A3" s="2" t="s">
        <v>8</v>
      </c>
      <c r="B3" s="2" t="s">
        <v>9</v>
      </c>
      <c r="C3" s="2" t="s">
        <v>10</v>
      </c>
      <c r="D3" s="2" t="s">
        <v>3</v>
      </c>
      <c r="E3" s="2" t="s">
        <v>144</v>
      </c>
      <c r="F3" s="8"/>
      <c r="G3" s="8"/>
      <c r="H3" s="8"/>
    </row>
    <row r="4">
      <c r="A4" s="2" t="s">
        <v>11</v>
      </c>
      <c r="B4" s="2" t="s">
        <v>12</v>
      </c>
      <c r="C4" s="2" t="s">
        <v>10</v>
      </c>
      <c r="D4" s="2" t="s">
        <v>13</v>
      </c>
      <c r="E4" s="2" t="s">
        <v>145</v>
      </c>
      <c r="F4" s="8"/>
      <c r="G4" s="8"/>
      <c r="H4" s="8"/>
    </row>
    <row r="5">
      <c r="A5" s="2" t="s">
        <v>16</v>
      </c>
      <c r="B5" s="2" t="s">
        <v>17</v>
      </c>
      <c r="C5" s="2" t="s">
        <v>10</v>
      </c>
      <c r="D5" s="2" t="s">
        <v>13</v>
      </c>
      <c r="E5" s="2" t="s">
        <v>145</v>
      </c>
      <c r="F5" s="8"/>
      <c r="G5" s="8"/>
      <c r="H5" s="8"/>
    </row>
    <row r="6">
      <c r="A6" s="2" t="s">
        <v>22</v>
      </c>
      <c r="B6" s="2" t="s">
        <v>23</v>
      </c>
      <c r="C6" s="2" t="s">
        <v>10</v>
      </c>
      <c r="D6" s="2" t="s">
        <v>13</v>
      </c>
      <c r="E6" s="2" t="s">
        <v>145</v>
      </c>
      <c r="F6" s="8"/>
      <c r="G6" s="8" t="s">
        <v>159</v>
      </c>
      <c r="H6" s="8"/>
    </row>
    <row r="7">
      <c r="A7" s="2" t="s">
        <v>22</v>
      </c>
      <c r="B7" s="2" t="s">
        <v>24</v>
      </c>
      <c r="C7" s="2" t="s">
        <v>10</v>
      </c>
      <c r="D7" s="2" t="s">
        <v>13</v>
      </c>
      <c r="E7" s="2" t="s">
        <v>145</v>
      </c>
      <c r="F7" s="8"/>
      <c r="G7" s="8" t="s">
        <v>159</v>
      </c>
      <c r="H7" s="8"/>
      <c r="J7" s="21" t="s">
        <v>150</v>
      </c>
      <c r="K7" s="30" t="s">
        <v>141</v>
      </c>
      <c r="L7" s="2" t="s">
        <v>147</v>
      </c>
      <c r="M7" s="2">
        <f>COUNTIF(E3:E24, "ESPAGNOL")</f>
        <v>14</v>
      </c>
    </row>
    <row r="8">
      <c r="A8" s="2" t="s">
        <v>25</v>
      </c>
      <c r="B8" s="2" t="s">
        <v>26</v>
      </c>
      <c r="C8" s="2" t="s">
        <v>10</v>
      </c>
      <c r="D8" s="2" t="s">
        <v>3</v>
      </c>
      <c r="E8" s="2" t="s">
        <v>144</v>
      </c>
      <c r="F8" s="8"/>
      <c r="G8" s="8" t="s">
        <v>159</v>
      </c>
      <c r="H8" s="8"/>
      <c r="J8" s="21"/>
      <c r="K8" s="30"/>
      <c r="L8" s="2" t="s">
        <v>148</v>
      </c>
      <c r="M8" s="2">
        <f>COUNTIF(E3:E24, "ITALIEN")</f>
        <v>3</v>
      </c>
    </row>
    <row r="9">
      <c r="A9" s="2" t="s">
        <v>27</v>
      </c>
      <c r="B9" s="2" t="s">
        <v>28</v>
      </c>
      <c r="C9" s="2" t="s">
        <v>10</v>
      </c>
      <c r="D9" s="2" t="s">
        <v>13</v>
      </c>
      <c r="E9" s="2" t="s">
        <v>145</v>
      </c>
      <c r="F9" s="8"/>
      <c r="G9" s="8" t="s">
        <v>159</v>
      </c>
      <c r="H9" s="8"/>
      <c r="J9" s="21"/>
      <c r="K9" s="30"/>
      <c r="L9" s="2" t="s">
        <v>149</v>
      </c>
      <c r="M9" s="2">
        <f>COUNTIF(E3:E24, "ALLEMAND")</f>
        <v>5</v>
      </c>
    </row>
    <row r="10" ht="15.75">
      <c r="A10" s="2" t="s">
        <v>29</v>
      </c>
      <c r="B10" s="2" t="s">
        <v>30</v>
      </c>
      <c r="C10" s="2" t="s">
        <v>10</v>
      </c>
      <c r="D10" s="2" t="s">
        <v>13</v>
      </c>
      <c r="E10" s="2" t="s">
        <v>145</v>
      </c>
      <c r="F10" s="8"/>
      <c r="G10" s="8" t="s">
        <v>159</v>
      </c>
      <c r="H10" s="8"/>
      <c r="J10" s="21"/>
      <c r="K10" s="31"/>
      <c r="L10" s="12" t="s">
        <v>152</v>
      </c>
      <c r="M10" s="3">
        <f>COUNTIF(E3:E24, "LV2 NON SUIVIE")</f>
        <v>0</v>
      </c>
    </row>
    <row r="11">
      <c r="A11" s="2" t="s">
        <v>37</v>
      </c>
      <c r="B11" s="2" t="s">
        <v>39</v>
      </c>
      <c r="C11" s="2" t="s">
        <v>10</v>
      </c>
      <c r="D11" s="2" t="s">
        <v>13</v>
      </c>
      <c r="E11" s="2" t="s">
        <v>146</v>
      </c>
      <c r="F11" s="8"/>
      <c r="G11" s="8"/>
      <c r="H11" s="8"/>
      <c r="J11" s="21"/>
      <c r="K11" s="17" t="s">
        <v>155</v>
      </c>
      <c r="L11" s="11" t="s">
        <v>160</v>
      </c>
      <c r="M11" s="13">
        <f>COUNTIF(F3:F24, "X")</f>
        <v>0</v>
      </c>
    </row>
    <row r="12">
      <c r="A12" s="2" t="s">
        <v>40</v>
      </c>
      <c r="B12" s="2" t="s">
        <v>41</v>
      </c>
      <c r="C12" s="2" t="s">
        <v>10</v>
      </c>
      <c r="D12" s="2" t="s">
        <v>13</v>
      </c>
      <c r="E12" s="2" t="s">
        <v>145</v>
      </c>
      <c r="F12" s="8"/>
      <c r="G12" s="8"/>
      <c r="H12" s="8"/>
      <c r="J12" s="21"/>
      <c r="K12" s="18"/>
      <c r="L12" s="5" t="s">
        <v>157</v>
      </c>
      <c r="M12" s="2">
        <f>COUNTIF(G3:G24, "X")</f>
        <v>5</v>
      </c>
    </row>
    <row r="13">
      <c r="A13" s="2" t="s">
        <v>48</v>
      </c>
      <c r="B13" s="2" t="s">
        <v>49</v>
      </c>
      <c r="C13" s="2" t="s">
        <v>10</v>
      </c>
      <c r="D13" s="2" t="s">
        <v>3</v>
      </c>
      <c r="E13" s="2" t="s">
        <v>144</v>
      </c>
      <c r="F13" s="8"/>
      <c r="G13" s="8"/>
      <c r="H13" s="8"/>
      <c r="J13" s="21"/>
      <c r="K13" s="18"/>
      <c r="L13" s="5" t="s">
        <v>161</v>
      </c>
      <c r="M13" s="2">
        <f>COUNTIF(H3:H24, "X")</f>
        <v>0</v>
      </c>
    </row>
    <row r="14">
      <c r="A14" s="2" t="s">
        <v>50</v>
      </c>
      <c r="B14" s="2" t="s">
        <v>51</v>
      </c>
      <c r="C14" s="2" t="s">
        <v>10</v>
      </c>
      <c r="D14" s="2" t="s">
        <v>3</v>
      </c>
      <c r="E14" s="2" t="s">
        <v>144</v>
      </c>
      <c r="F14" s="8"/>
      <c r="G14" s="8"/>
      <c r="H14" s="8"/>
    </row>
    <row r="15">
      <c r="A15" s="2" t="s">
        <v>72</v>
      </c>
      <c r="B15" s="2" t="s">
        <v>73</v>
      </c>
      <c r="C15" s="2" t="s">
        <v>10</v>
      </c>
      <c r="D15" s="2" t="s">
        <v>13</v>
      </c>
      <c r="E15" s="2" t="s">
        <v>145</v>
      </c>
      <c r="F15" s="8"/>
      <c r="G15" s="8"/>
      <c r="H15" s="8"/>
    </row>
    <row r="16">
      <c r="A16" s="2" t="s">
        <v>74</v>
      </c>
      <c r="B16" s="2" t="s">
        <v>75</v>
      </c>
      <c r="C16" s="2" t="s">
        <v>10</v>
      </c>
      <c r="D16" s="2" t="s">
        <v>13</v>
      </c>
      <c r="E16" s="2" t="s">
        <v>146</v>
      </c>
      <c r="F16" s="8"/>
      <c r="G16" s="8"/>
      <c r="H16" s="8"/>
      <c r="J16" s="23" t="s">
        <v>153</v>
      </c>
      <c r="K16" s="30" t="s">
        <v>141</v>
      </c>
      <c r="L16" s="2" t="s">
        <v>147</v>
      </c>
      <c r="M16" s="2">
        <f>COUNTIF(E25:E47, "ESPAGNOL")</f>
        <v>17</v>
      </c>
    </row>
    <row r="17">
      <c r="A17" s="2" t="s">
        <v>76</v>
      </c>
      <c r="B17" s="2" t="s">
        <v>77</v>
      </c>
      <c r="C17" s="2" t="s">
        <v>10</v>
      </c>
      <c r="D17" s="2" t="s">
        <v>3</v>
      </c>
      <c r="E17" s="2" t="s">
        <v>145</v>
      </c>
      <c r="F17" s="8"/>
      <c r="G17" s="8"/>
      <c r="H17" s="8"/>
      <c r="J17" s="23"/>
      <c r="K17" s="30"/>
      <c r="L17" s="2" t="s">
        <v>148</v>
      </c>
      <c r="M17" s="2">
        <f>COUNTIF(E25:E47, "ITALIEN")</f>
        <v>5</v>
      </c>
    </row>
    <row r="18">
      <c r="A18" s="2" t="s">
        <v>82</v>
      </c>
      <c r="B18" s="2" t="s">
        <v>83</v>
      </c>
      <c r="C18" s="2" t="s">
        <v>10</v>
      </c>
      <c r="D18" s="2" t="s">
        <v>13</v>
      </c>
      <c r="E18" s="2" t="s">
        <v>145</v>
      </c>
      <c r="F18" s="8"/>
      <c r="G18" s="8"/>
      <c r="H18" s="8"/>
      <c r="J18" s="23"/>
      <c r="K18" s="30"/>
      <c r="L18" s="2" t="s">
        <v>149</v>
      </c>
      <c r="M18" s="2">
        <f>COUNTIF(E25:E47, "ALLEMAND")</f>
        <v>0</v>
      </c>
    </row>
    <row r="19" ht="15.75">
      <c r="A19" s="2" t="s">
        <v>92</v>
      </c>
      <c r="B19" s="2" t="s">
        <v>93</v>
      </c>
      <c r="C19" s="2" t="s">
        <v>10</v>
      </c>
      <c r="D19" s="2" t="s">
        <v>13</v>
      </c>
      <c r="E19" s="2" t="s">
        <v>146</v>
      </c>
      <c r="F19" s="8"/>
      <c r="G19" s="8"/>
      <c r="H19" s="8"/>
      <c r="J19" s="23"/>
      <c r="K19" s="32"/>
      <c r="L19" s="14" t="s">
        <v>152</v>
      </c>
      <c r="M19" s="3">
        <f>COUNTIF(E25:E47, "LV2 NON SUIVIE")</f>
        <v>1</v>
      </c>
    </row>
    <row r="20">
      <c r="A20" s="2" t="s">
        <v>107</v>
      </c>
      <c r="B20" s="2" t="s">
        <v>108</v>
      </c>
      <c r="C20" s="2" t="s">
        <v>10</v>
      </c>
      <c r="D20" s="2" t="s">
        <v>13</v>
      </c>
      <c r="E20" s="2" t="s">
        <v>144</v>
      </c>
      <c r="F20" s="8"/>
      <c r="G20" s="8"/>
      <c r="H20" s="8"/>
      <c r="J20" s="23"/>
      <c r="K20" s="22" t="s">
        <v>155</v>
      </c>
      <c r="L20" s="15" t="s">
        <v>160</v>
      </c>
      <c r="M20" s="13">
        <f>COUNTIF(F25:F47, "X")</f>
        <v>4</v>
      </c>
    </row>
    <row r="21">
      <c r="A21" s="2" t="s">
        <v>109</v>
      </c>
      <c r="B21" s="2" t="s">
        <v>110</v>
      </c>
      <c r="C21" s="2" t="s">
        <v>10</v>
      </c>
      <c r="D21" s="2" t="s">
        <v>13</v>
      </c>
      <c r="E21" s="2" t="s">
        <v>145</v>
      </c>
      <c r="F21" s="8"/>
      <c r="G21" s="8"/>
      <c r="H21" s="8"/>
      <c r="J21" s="23"/>
      <c r="K21" s="18"/>
      <c r="L21" s="5" t="s">
        <v>157</v>
      </c>
      <c r="M21" s="2">
        <f>COUNTIF(G25:G47, "X")</f>
        <v>6</v>
      </c>
    </row>
    <row r="22">
      <c r="A22" s="2" t="s">
        <v>113</v>
      </c>
      <c r="B22" s="2" t="s">
        <v>114</v>
      </c>
      <c r="C22" s="2" t="s">
        <v>10</v>
      </c>
      <c r="D22" s="2" t="s">
        <v>13</v>
      </c>
      <c r="E22" s="2" t="s">
        <v>145</v>
      </c>
      <c r="F22" s="8"/>
      <c r="G22" s="8"/>
      <c r="H22" s="8"/>
      <c r="J22" s="23"/>
      <c r="K22" s="18"/>
      <c r="L22" s="5" t="s">
        <v>161</v>
      </c>
      <c r="M22" s="2">
        <f>COUNTIF(H25:H47, "X")</f>
        <v>0</v>
      </c>
    </row>
    <row r="23">
      <c r="A23" s="2" t="s">
        <v>117</v>
      </c>
      <c r="B23" s="2" t="s">
        <v>118</v>
      </c>
      <c r="C23" s="2" t="s">
        <v>10</v>
      </c>
      <c r="D23" s="2" t="s">
        <v>3</v>
      </c>
      <c r="E23" s="2" t="s">
        <v>145</v>
      </c>
      <c r="F23" s="8"/>
      <c r="G23" s="8"/>
      <c r="H23" s="8"/>
    </row>
    <row r="24" ht="15.75">
      <c r="A24" s="3" t="s">
        <v>133</v>
      </c>
      <c r="B24" s="3" t="s">
        <v>134</v>
      </c>
      <c r="C24" s="3" t="s">
        <v>10</v>
      </c>
      <c r="D24" s="3" t="s">
        <v>13</v>
      </c>
      <c r="E24" s="3" t="s">
        <v>145</v>
      </c>
      <c r="F24" s="9"/>
      <c r="G24" s="9"/>
      <c r="H24" s="9"/>
    </row>
    <row r="25" ht="15.75" thickTop="1" thickBot="1">
      <c r="A25" s="4" t="s">
        <v>4</v>
      </c>
      <c r="B25" s="4" t="s">
        <v>5</v>
      </c>
      <c r="C25" s="4" t="s">
        <v>6</v>
      </c>
      <c r="D25" s="4" t="s">
        <v>7</v>
      </c>
      <c r="E25" s="4" t="s">
        <v>151</v>
      </c>
      <c r="F25" s="10"/>
      <c r="G25" s="10"/>
      <c r="H25" s="10"/>
      <c r="J25" s="19" t="s">
        <v>154</v>
      </c>
      <c r="K25" s="30" t="s">
        <v>141</v>
      </c>
      <c r="L25" s="2" t="s">
        <v>147</v>
      </c>
      <c r="M25" s="2">
        <f>COUNTIF(E48:E70, "ESPAGNOL")</f>
        <v>21</v>
      </c>
    </row>
    <row r="26">
      <c r="A26" s="2" t="s">
        <v>20</v>
      </c>
      <c r="B26" s="2" t="s">
        <v>21</v>
      </c>
      <c r="C26" s="2" t="s">
        <v>6</v>
      </c>
      <c r="D26" s="2" t="s">
        <v>3</v>
      </c>
      <c r="E26" s="2" t="s">
        <v>145</v>
      </c>
      <c r="F26" s="8" t="s">
        <v>159</v>
      </c>
      <c r="G26" s="8"/>
      <c r="H26" s="8"/>
      <c r="J26" s="19"/>
      <c r="K26" s="30"/>
      <c r="L26" s="2" t="s">
        <v>148</v>
      </c>
      <c r="M26" s="2">
        <f>COUNTIF(E48:E70, "ITALIEN")</f>
        <v>0</v>
      </c>
    </row>
    <row r="27">
      <c r="A27" s="2" t="s">
        <v>31</v>
      </c>
      <c r="B27" s="2" t="s">
        <v>32</v>
      </c>
      <c r="C27" s="2" t="s">
        <v>6</v>
      </c>
      <c r="D27" s="2" t="s">
        <v>3</v>
      </c>
      <c r="E27" s="2" t="s">
        <v>145</v>
      </c>
      <c r="F27" s="8"/>
      <c r="G27" s="8"/>
      <c r="H27" s="8"/>
      <c r="J27" s="19"/>
      <c r="K27" s="30"/>
      <c r="L27" s="2" t="s">
        <v>149</v>
      </c>
      <c r="M27" s="2">
        <f>COUNTIF(E48:E70, "ALLEMAND")</f>
        <v>0</v>
      </c>
    </row>
    <row r="28" ht="15.75">
      <c r="A28" s="2" t="s">
        <v>33</v>
      </c>
      <c r="B28" s="2" t="s">
        <v>34</v>
      </c>
      <c r="C28" s="2" t="s">
        <v>6</v>
      </c>
      <c r="D28" s="2" t="s">
        <v>3</v>
      </c>
      <c r="E28" s="2" t="s">
        <v>145</v>
      </c>
      <c r="F28" s="8"/>
      <c r="G28" s="8"/>
      <c r="H28" s="8"/>
      <c r="J28" s="19"/>
      <c r="K28" s="31"/>
      <c r="L28" s="14" t="s">
        <v>152</v>
      </c>
      <c r="M28" s="3">
        <f>COUNTIF(E48:E70, "LV2 NON SUIVIE")</f>
        <v>2</v>
      </c>
    </row>
    <row r="29">
      <c r="A29" s="2" t="s">
        <v>35</v>
      </c>
      <c r="B29" s="2" t="s">
        <v>36</v>
      </c>
      <c r="C29" s="2" t="s">
        <v>6</v>
      </c>
      <c r="D29" s="2" t="s">
        <v>3</v>
      </c>
      <c r="E29" s="2" t="s">
        <v>145</v>
      </c>
      <c r="F29" s="8"/>
      <c r="G29" s="8"/>
      <c r="H29" s="8"/>
      <c r="J29" s="19"/>
      <c r="K29" s="17" t="s">
        <v>155</v>
      </c>
      <c r="L29" s="15" t="s">
        <v>160</v>
      </c>
      <c r="M29" s="16">
        <f>COUNTIF(F48:F70, "X")</f>
        <v>7</v>
      </c>
    </row>
    <row r="30">
      <c r="A30" s="2" t="s">
        <v>46</v>
      </c>
      <c r="B30" s="2" t="s">
        <v>47</v>
      </c>
      <c r="C30" s="2" t="s">
        <v>6</v>
      </c>
      <c r="D30" s="2" t="s">
        <v>3</v>
      </c>
      <c r="E30" s="2" t="s">
        <v>146</v>
      </c>
      <c r="F30" s="8"/>
      <c r="G30" s="8" t="s">
        <v>159</v>
      </c>
      <c r="H30" s="8"/>
      <c r="J30" s="19"/>
      <c r="K30" s="18"/>
      <c r="L30" s="5" t="s">
        <v>157</v>
      </c>
      <c r="M30" s="3">
        <f>COUNTIF(G48:G70, "X")</f>
        <v>5</v>
      </c>
    </row>
    <row r="31">
      <c r="A31" s="2" t="s">
        <v>52</v>
      </c>
      <c r="B31" s="2" t="s">
        <v>53</v>
      </c>
      <c r="C31" s="2" t="s">
        <v>6</v>
      </c>
      <c r="D31" s="2" t="s">
        <v>3</v>
      </c>
      <c r="E31" s="2" t="s">
        <v>145</v>
      </c>
      <c r="F31" s="8"/>
      <c r="G31" s="8"/>
      <c r="H31" s="8"/>
      <c r="J31" s="19"/>
      <c r="K31" s="18"/>
      <c r="L31" s="5" t="s">
        <v>161</v>
      </c>
      <c r="M31" s="2">
        <f>COUNTIF(H48:H70, "X")</f>
        <v>1</v>
      </c>
    </row>
    <row r="32">
      <c r="A32" s="2" t="s">
        <v>56</v>
      </c>
      <c r="B32" s="2" t="s">
        <v>57</v>
      </c>
      <c r="C32" s="2" t="s">
        <v>6</v>
      </c>
      <c r="D32" s="2" t="s">
        <v>3</v>
      </c>
      <c r="E32" s="2" t="s">
        <v>145</v>
      </c>
      <c r="F32" s="8"/>
      <c r="G32" s="8"/>
      <c r="H32" s="8"/>
    </row>
    <row r="33">
      <c r="A33" s="2" t="s">
        <v>58</v>
      </c>
      <c r="B33" s="2" t="s">
        <v>59</v>
      </c>
      <c r="C33" s="2" t="s">
        <v>6</v>
      </c>
      <c r="D33" s="2" t="s">
        <v>7</v>
      </c>
      <c r="E33" s="2" t="s">
        <v>145</v>
      </c>
      <c r="F33" s="8"/>
      <c r="G33" s="8"/>
      <c r="H33" s="8"/>
      <c r="P33" s="7"/>
    </row>
    <row r="34">
      <c r="A34" s="2" t="s">
        <v>60</v>
      </c>
      <c r="B34" s="2" t="s">
        <v>61</v>
      </c>
      <c r="C34" s="2" t="s">
        <v>6</v>
      </c>
      <c r="D34" s="2" t="s">
        <v>3</v>
      </c>
      <c r="E34" s="2" t="s">
        <v>146</v>
      </c>
      <c r="F34" s="8"/>
      <c r="G34" s="8"/>
      <c r="H34" s="8"/>
    </row>
    <row r="35">
      <c r="A35" s="2" t="s">
        <v>64</v>
      </c>
      <c r="B35" s="2" t="s">
        <v>65</v>
      </c>
      <c r="C35" s="2" t="s">
        <v>6</v>
      </c>
      <c r="D35" s="2" t="s">
        <v>3</v>
      </c>
      <c r="E35" s="2" t="s">
        <v>146</v>
      </c>
      <c r="F35" s="8"/>
      <c r="G35" s="8"/>
      <c r="H35" s="8"/>
    </row>
    <row r="36">
      <c r="A36" s="2" t="s">
        <v>66</v>
      </c>
      <c r="B36" s="2" t="s">
        <v>67</v>
      </c>
      <c r="C36" s="2" t="s">
        <v>6</v>
      </c>
      <c r="D36" s="2" t="s">
        <v>3</v>
      </c>
      <c r="E36" s="2" t="s">
        <v>145</v>
      </c>
      <c r="F36" s="8"/>
      <c r="G36" s="8" t="s">
        <v>159</v>
      </c>
      <c r="H36" s="8"/>
      <c r="K36" s="7"/>
      <c r="L36" s="7"/>
      <c r="M36" s="7"/>
    </row>
    <row r="37">
      <c r="A37" s="2" t="s">
        <v>70</v>
      </c>
      <c r="B37" s="2" t="s">
        <v>71</v>
      </c>
      <c r="C37" s="2" t="s">
        <v>6</v>
      </c>
      <c r="D37" s="2" t="s">
        <v>3</v>
      </c>
      <c r="E37" s="2" t="s">
        <v>145</v>
      </c>
      <c r="F37" s="8" t="s">
        <v>159</v>
      </c>
      <c r="G37" s="8"/>
      <c r="H37" s="8"/>
      <c r="K37" s="7"/>
      <c r="L37" s="7"/>
      <c r="M37" s="7"/>
    </row>
    <row r="38">
      <c r="A38" s="2" t="s">
        <v>80</v>
      </c>
      <c r="B38" s="2" t="s">
        <v>81</v>
      </c>
      <c r="C38" s="2" t="s">
        <v>6</v>
      </c>
      <c r="D38" s="2" t="s">
        <v>3</v>
      </c>
      <c r="E38" s="2" t="s">
        <v>145</v>
      </c>
      <c r="F38" s="8"/>
      <c r="G38" s="8"/>
      <c r="H38" s="8"/>
    </row>
    <row r="39">
      <c r="A39" s="2" t="s">
        <v>84</v>
      </c>
      <c r="B39" s="2" t="s">
        <v>85</v>
      </c>
      <c r="C39" s="2" t="s">
        <v>6</v>
      </c>
      <c r="D39" s="2" t="s">
        <v>3</v>
      </c>
      <c r="E39" s="2" t="s">
        <v>146</v>
      </c>
      <c r="F39" s="8"/>
      <c r="G39" s="8"/>
      <c r="H39" s="8"/>
    </row>
    <row r="40">
      <c r="A40" s="2" t="s">
        <v>86</v>
      </c>
      <c r="B40" s="2" t="s">
        <v>87</v>
      </c>
      <c r="C40" s="2" t="s">
        <v>6</v>
      </c>
      <c r="D40" s="2" t="s">
        <v>3</v>
      </c>
      <c r="E40" s="2" t="s">
        <v>145</v>
      </c>
      <c r="F40" s="8"/>
      <c r="G40" s="8"/>
      <c r="H40" s="8"/>
    </row>
    <row r="41">
      <c r="A41" s="2" t="s">
        <v>88</v>
      </c>
      <c r="B41" s="2" t="s">
        <v>89</v>
      </c>
      <c r="C41" s="2" t="s">
        <v>6</v>
      </c>
      <c r="D41" s="2" t="s">
        <v>3</v>
      </c>
      <c r="E41" s="2" t="s">
        <v>145</v>
      </c>
      <c r="F41" s="8"/>
      <c r="G41" s="8"/>
      <c r="H41" s="8"/>
    </row>
    <row r="42">
      <c r="A42" s="2" t="s">
        <v>98</v>
      </c>
      <c r="B42" s="2" t="s">
        <v>99</v>
      </c>
      <c r="C42" s="2" t="s">
        <v>6</v>
      </c>
      <c r="D42" s="2" t="s">
        <v>100</v>
      </c>
      <c r="E42" s="2" t="s">
        <v>145</v>
      </c>
      <c r="F42" s="8"/>
      <c r="G42" s="8" t="s">
        <v>159</v>
      </c>
      <c r="H42" s="8"/>
    </row>
    <row r="43">
      <c r="A43" s="2" t="s">
        <v>101</v>
      </c>
      <c r="B43" s="2" t="s">
        <v>102</v>
      </c>
      <c r="C43" s="2" t="s">
        <v>6</v>
      </c>
      <c r="D43" s="2" t="s">
        <v>3</v>
      </c>
      <c r="E43" s="2" t="s">
        <v>146</v>
      </c>
      <c r="F43" s="8"/>
      <c r="G43" s="8"/>
      <c r="H43" s="8"/>
    </row>
    <row r="44">
      <c r="A44" s="2" t="s">
        <v>115</v>
      </c>
      <c r="B44" s="2" t="s">
        <v>116</v>
      </c>
      <c r="C44" s="2" t="s">
        <v>6</v>
      </c>
      <c r="D44" s="2" t="s">
        <v>7</v>
      </c>
      <c r="E44" s="2" t="s">
        <v>145</v>
      </c>
      <c r="F44" s="8"/>
      <c r="G44" s="8"/>
      <c r="H44" s="8"/>
    </row>
    <row r="45">
      <c r="A45" s="2" t="s">
        <v>119</v>
      </c>
      <c r="B45" s="2" t="s">
        <v>120</v>
      </c>
      <c r="C45" s="2" t="s">
        <v>6</v>
      </c>
      <c r="D45" s="2" t="s">
        <v>3</v>
      </c>
      <c r="E45" s="2" t="s">
        <v>145</v>
      </c>
      <c r="F45" s="8" t="s">
        <v>159</v>
      </c>
      <c r="G45" s="8" t="s">
        <v>159</v>
      </c>
      <c r="H45" s="8"/>
    </row>
    <row r="46">
      <c r="A46" s="2" t="s">
        <v>131</v>
      </c>
      <c r="B46" s="2" t="s">
        <v>132</v>
      </c>
      <c r="C46" s="2" t="s">
        <v>6</v>
      </c>
      <c r="D46" s="2" t="s">
        <v>3</v>
      </c>
      <c r="E46" s="2" t="s">
        <v>145</v>
      </c>
      <c r="F46" s="8"/>
      <c r="G46" s="8" t="s">
        <v>159</v>
      </c>
      <c r="H46" s="8"/>
    </row>
    <row r="47" ht="15.75">
      <c r="A47" s="3" t="s">
        <v>139</v>
      </c>
      <c r="B47" s="3" t="s">
        <v>140</v>
      </c>
      <c r="C47" s="3" t="s">
        <v>6</v>
      </c>
      <c r="D47" s="3" t="s">
        <v>3</v>
      </c>
      <c r="E47" s="3" t="s">
        <v>145</v>
      </c>
      <c r="F47" s="9" t="s">
        <v>159</v>
      </c>
      <c r="G47" s="9" t="s">
        <v>159</v>
      </c>
      <c r="H47" s="9"/>
    </row>
    <row r="48" ht="15.75" thickTop="1" thickBot="1">
      <c r="A48" s="4" t="s">
        <v>0</v>
      </c>
      <c r="B48" s="4" t="s">
        <v>1</v>
      </c>
      <c r="C48" s="4" t="s">
        <v>2</v>
      </c>
      <c r="D48" s="4" t="s">
        <v>3</v>
      </c>
      <c r="E48" s="4" t="s">
        <v>145</v>
      </c>
      <c r="F48" s="10"/>
      <c r="G48" s="10"/>
      <c r="H48" s="10"/>
    </row>
    <row r="49">
      <c r="A49" s="2" t="s">
        <v>14</v>
      </c>
      <c r="B49" s="2" t="s">
        <v>15</v>
      </c>
      <c r="C49" s="2" t="s">
        <v>2</v>
      </c>
      <c r="D49" s="2" t="s">
        <v>3</v>
      </c>
      <c r="E49" s="2" t="s">
        <v>145</v>
      </c>
      <c r="F49" s="8"/>
      <c r="G49" s="8"/>
      <c r="H49" s="8"/>
    </row>
    <row r="50">
      <c r="A50" s="2" t="s">
        <v>18</v>
      </c>
      <c r="B50" s="2" t="s">
        <v>19</v>
      </c>
      <c r="C50" s="2" t="s">
        <v>2</v>
      </c>
      <c r="D50" s="2" t="s">
        <v>3</v>
      </c>
      <c r="E50" s="2" t="s">
        <v>145</v>
      </c>
      <c r="F50" s="8" t="s">
        <v>159</v>
      </c>
      <c r="G50" s="8"/>
      <c r="H50" s="8"/>
    </row>
    <row r="51">
      <c r="A51" s="2" t="s">
        <v>37</v>
      </c>
      <c r="B51" s="2" t="s">
        <v>38</v>
      </c>
      <c r="C51" s="2" t="s">
        <v>2</v>
      </c>
      <c r="D51" s="2" t="s">
        <v>3</v>
      </c>
      <c r="E51" s="2" t="s">
        <v>145</v>
      </c>
      <c r="F51" s="8"/>
      <c r="G51" s="8" t="s">
        <v>159</v>
      </c>
      <c r="H51" s="8"/>
    </row>
    <row r="52">
      <c r="A52" s="2" t="s">
        <v>42</v>
      </c>
      <c r="B52" s="2" t="s">
        <v>43</v>
      </c>
      <c r="C52" s="2" t="s">
        <v>2</v>
      </c>
      <c r="D52" s="2" t="s">
        <v>3</v>
      </c>
      <c r="E52" s="2" t="s">
        <v>145</v>
      </c>
      <c r="F52" s="8"/>
      <c r="G52" s="8"/>
      <c r="H52" s="8"/>
    </row>
    <row r="53">
      <c r="A53" s="2" t="s">
        <v>44</v>
      </c>
      <c r="B53" s="2" t="s">
        <v>45</v>
      </c>
      <c r="C53" s="2" t="s">
        <v>2</v>
      </c>
      <c r="D53" s="2" t="s">
        <v>3</v>
      </c>
      <c r="E53" s="2" t="s">
        <v>145</v>
      </c>
      <c r="F53" s="8"/>
      <c r="G53" s="8"/>
      <c r="H53" s="8"/>
    </row>
    <row r="54">
      <c r="A54" s="2" t="s">
        <v>54</v>
      </c>
      <c r="B54" s="2" t="s">
        <v>55</v>
      </c>
      <c r="C54" s="2" t="s">
        <v>2</v>
      </c>
      <c r="D54" s="2" t="s">
        <v>3</v>
      </c>
      <c r="E54" s="2" t="s">
        <v>145</v>
      </c>
      <c r="F54" s="8"/>
      <c r="G54" s="8"/>
      <c r="H54" s="8"/>
    </row>
    <row r="55">
      <c r="A55" s="2" t="s">
        <v>62</v>
      </c>
      <c r="B55" s="2" t="s">
        <v>63</v>
      </c>
      <c r="C55" s="2" t="s">
        <v>2</v>
      </c>
      <c r="D55" s="2" t="s">
        <v>3</v>
      </c>
      <c r="E55" s="2" t="s">
        <v>145</v>
      </c>
      <c r="F55" s="8" t="s">
        <v>159</v>
      </c>
      <c r="G55" s="8"/>
      <c r="H55" s="8"/>
    </row>
    <row r="56">
      <c r="A56" s="2" t="s">
        <v>68</v>
      </c>
      <c r="B56" s="2" t="s">
        <v>69</v>
      </c>
      <c r="C56" s="2" t="s">
        <v>2</v>
      </c>
      <c r="D56" s="2" t="s">
        <v>3</v>
      </c>
      <c r="E56" s="2" t="s">
        <v>145</v>
      </c>
      <c r="F56" s="8"/>
      <c r="G56" s="8" t="s">
        <v>159</v>
      </c>
      <c r="H56" s="8"/>
    </row>
    <row r="57">
      <c r="A57" s="2" t="s">
        <v>78</v>
      </c>
      <c r="B57" s="2" t="s">
        <v>79</v>
      </c>
      <c r="C57" s="2" t="s">
        <v>2</v>
      </c>
      <c r="D57" s="2" t="s">
        <v>3</v>
      </c>
      <c r="E57" s="2" t="s">
        <v>145</v>
      </c>
      <c r="F57" s="8"/>
      <c r="G57" s="8"/>
      <c r="H57" s="8"/>
    </row>
    <row r="58">
      <c r="A58" s="2" t="s">
        <v>90</v>
      </c>
      <c r="B58" s="2" t="s">
        <v>91</v>
      </c>
      <c r="C58" s="2" t="s">
        <v>2</v>
      </c>
      <c r="D58" s="2" t="s">
        <v>3</v>
      </c>
      <c r="E58" s="2" t="s">
        <v>145</v>
      </c>
      <c r="F58" s="8"/>
      <c r="G58" s="8"/>
      <c r="H58" s="8" t="s">
        <v>159</v>
      </c>
    </row>
    <row r="59">
      <c r="A59" s="2" t="s">
        <v>94</v>
      </c>
      <c r="B59" s="2" t="s">
        <v>95</v>
      </c>
      <c r="C59" s="2" t="s">
        <v>2</v>
      </c>
      <c r="D59" s="2" t="s">
        <v>3</v>
      </c>
      <c r="E59" s="2" t="s">
        <v>145</v>
      </c>
      <c r="F59" s="8"/>
      <c r="G59" s="8"/>
      <c r="H59" s="8"/>
    </row>
    <row r="60">
      <c r="A60" s="2" t="s">
        <v>96</v>
      </c>
      <c r="B60" s="2" t="s">
        <v>97</v>
      </c>
      <c r="C60" s="2" t="s">
        <v>2</v>
      </c>
      <c r="D60" s="2" t="s">
        <v>3</v>
      </c>
      <c r="E60" s="2" t="s">
        <v>145</v>
      </c>
      <c r="F60" s="8" t="s">
        <v>159</v>
      </c>
      <c r="G60" s="8" t="s">
        <v>159</v>
      </c>
      <c r="H60" s="8"/>
    </row>
    <row r="61">
      <c r="A61" s="2" t="s">
        <v>103</v>
      </c>
      <c r="B61" s="2" t="s">
        <v>104</v>
      </c>
      <c r="C61" s="2" t="s">
        <v>2</v>
      </c>
      <c r="D61" s="2" t="s">
        <v>3</v>
      </c>
      <c r="E61" s="2" t="s">
        <v>145</v>
      </c>
      <c r="F61" s="8" t="s">
        <v>159</v>
      </c>
      <c r="G61" s="8"/>
      <c r="H61" s="8"/>
    </row>
    <row r="62">
      <c r="A62" s="2" t="s">
        <v>105</v>
      </c>
      <c r="B62" s="2" t="s">
        <v>106</v>
      </c>
      <c r="C62" s="2" t="s">
        <v>2</v>
      </c>
      <c r="D62" s="2" t="s">
        <v>3</v>
      </c>
      <c r="E62" s="2" t="s">
        <v>145</v>
      </c>
      <c r="F62" s="8" t="s">
        <v>159</v>
      </c>
      <c r="G62" s="8" t="s">
        <v>159</v>
      </c>
      <c r="H62" s="8"/>
    </row>
    <row r="63">
      <c r="A63" s="2" t="s">
        <v>111</v>
      </c>
      <c r="B63" s="2" t="s">
        <v>112</v>
      </c>
      <c r="C63" s="2" t="s">
        <v>2</v>
      </c>
      <c r="D63" s="2" t="s">
        <v>3</v>
      </c>
      <c r="E63" s="2" t="s">
        <v>145</v>
      </c>
      <c r="F63" s="8" t="s">
        <v>159</v>
      </c>
      <c r="G63" s="8"/>
      <c r="H63" s="8"/>
    </row>
    <row r="64">
      <c r="A64" s="2" t="s">
        <v>121</v>
      </c>
      <c r="B64" s="2" t="s">
        <v>122</v>
      </c>
      <c r="C64" s="2" t="s">
        <v>2</v>
      </c>
      <c r="D64" s="2" t="s">
        <v>3</v>
      </c>
      <c r="E64" s="2" t="s">
        <v>145</v>
      </c>
      <c r="F64" s="8"/>
      <c r="G64" s="8"/>
      <c r="H64" s="8"/>
    </row>
    <row r="65">
      <c r="A65" s="2" t="s">
        <v>123</v>
      </c>
      <c r="B65" s="2" t="s">
        <v>124</v>
      </c>
      <c r="C65" s="2" t="s">
        <v>2</v>
      </c>
      <c r="D65" s="2" t="s">
        <v>100</v>
      </c>
      <c r="E65" s="2" t="s">
        <v>151</v>
      </c>
      <c r="F65" s="8"/>
      <c r="G65" s="8"/>
      <c r="H65" s="8"/>
    </row>
    <row r="66">
      <c r="A66" s="2" t="s">
        <v>125</v>
      </c>
      <c r="B66" s="2" t="s">
        <v>126</v>
      </c>
      <c r="C66" s="2" t="s">
        <v>2</v>
      </c>
      <c r="D66" s="2" t="s">
        <v>3</v>
      </c>
      <c r="E66" s="2" t="s">
        <v>145</v>
      </c>
      <c r="F66" s="8"/>
      <c r="G66" s="8"/>
      <c r="H66" s="8"/>
    </row>
    <row r="67">
      <c r="A67" s="2" t="s">
        <v>127</v>
      </c>
      <c r="B67" s="2" t="s">
        <v>128</v>
      </c>
      <c r="C67" s="2" t="s">
        <v>2</v>
      </c>
      <c r="D67" s="2" t="s">
        <v>3</v>
      </c>
      <c r="E67" s="2" t="s">
        <v>145</v>
      </c>
      <c r="F67" s="8" t="s">
        <v>159</v>
      </c>
      <c r="G67" s="8" t="s">
        <v>159</v>
      </c>
      <c r="H67" s="8"/>
    </row>
    <row r="68">
      <c r="A68" s="2" t="s">
        <v>129</v>
      </c>
      <c r="B68" s="2" t="s">
        <v>130</v>
      </c>
      <c r="C68" s="2" t="s">
        <v>2</v>
      </c>
      <c r="D68" s="2" t="s">
        <v>3</v>
      </c>
      <c r="E68" s="2" t="s">
        <v>145</v>
      </c>
      <c r="F68" s="8"/>
      <c r="G68" s="8"/>
      <c r="H68" s="8"/>
    </row>
    <row r="69">
      <c r="A69" s="2" t="s">
        <v>135</v>
      </c>
      <c r="B69" s="2" t="s">
        <v>136</v>
      </c>
      <c r="C69" s="2" t="s">
        <v>2</v>
      </c>
      <c r="D69" s="2" t="s">
        <v>3</v>
      </c>
      <c r="E69" s="2" t="s">
        <v>145</v>
      </c>
      <c r="F69" s="8"/>
      <c r="G69" s="8"/>
      <c r="H69" s="8"/>
    </row>
    <row r="70">
      <c r="A70" s="2" t="s">
        <v>137</v>
      </c>
      <c r="B70" s="2" t="s">
        <v>138</v>
      </c>
      <c r="C70" s="2" t="s">
        <v>2</v>
      </c>
      <c r="D70" s="2" t="s">
        <v>3</v>
      </c>
      <c r="E70" s="2" t="s">
        <v>151</v>
      </c>
      <c r="F70" s="8"/>
      <c r="G70" s="8"/>
      <c r="H70" s="8"/>
    </row>
  </sheetData>
  <mergeCells count="13">
    <mergeCell ref="A1:B2"/>
    <mergeCell ref="C1:D2"/>
    <mergeCell ref="E1:E2"/>
    <mergeCell ref="K25:K28"/>
    <mergeCell ref="K16:K19"/>
    <mergeCell ref="K7:K10"/>
    <mergeCell ref="K29:K31"/>
    <mergeCell ref="J25:J31"/>
    <mergeCell ref="F1:H1"/>
    <mergeCell ref="K11:K13"/>
    <mergeCell ref="J7:J13"/>
    <mergeCell ref="K20:K22"/>
    <mergeCell ref="J16:J22"/>
  </mergeCells>
  <pageMargins left="0.69999999999999996" right="0.69999999999999996" top="0.75" bottom="0.75" header="0.29999999999999999" footer="0.29999999999999999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>
      <pane ySplit="2" topLeftCell="A3" activePane="bottomLeft" state="frozen"/>
      <selection pane="bottomLeft" activeCell="Q9" sqref="Q9"/>
    </sheetView>
  </sheetViews>
  <sheetFormatPr baseColWidth="10" defaultRowHeight="15"/>
  <cols>
    <col bestFit="1" customWidth="1" min="1" max="1" width="21"/>
    <col bestFit="1" customWidth="1" min="2" max="2" width="12.42578125"/>
    <col bestFit="1" customWidth="1" min="4" max="4" width="29"/>
    <col bestFit="1" customWidth="1" min="5" max="5" width="15.42578125"/>
  </cols>
  <sheetData>
    <row r="1" ht="30" customHeight="1">
      <c r="A1" s="20" t="s">
        <v>143</v>
      </c>
      <c r="B1" s="20"/>
      <c r="C1" s="20" t="s">
        <v>142</v>
      </c>
      <c r="D1" s="20"/>
      <c r="E1" s="20" t="s">
        <v>141</v>
      </c>
      <c r="F1" s="20" t="s">
        <v>155</v>
      </c>
      <c r="G1" s="20"/>
      <c r="H1" s="20"/>
    </row>
    <row r="2" ht="30" customHeight="1">
      <c r="A2" s="20"/>
      <c r="B2" s="20"/>
      <c r="C2" s="20"/>
      <c r="D2" s="20"/>
      <c r="E2" s="20"/>
      <c r="F2" s="6" t="s">
        <v>156</v>
      </c>
      <c r="G2" s="6" t="s">
        <v>157</v>
      </c>
      <c r="H2" s="6" t="s">
        <v>158</v>
      </c>
    </row>
    <row r="3">
      <c r="A3" s="2" t="s">
        <v>165</v>
      </c>
      <c r="B3" s="2" t="s">
        <v>166</v>
      </c>
      <c r="C3" s="2" t="s">
        <v>167</v>
      </c>
      <c r="D3" s="2" t="s">
        <v>168</v>
      </c>
      <c r="E3" s="2" t="s">
        <v>146</v>
      </c>
      <c r="F3" s="8"/>
      <c r="G3" s="8"/>
      <c r="H3" s="8"/>
    </row>
    <row r="4">
      <c r="A4" s="2" t="s">
        <v>169</v>
      </c>
      <c r="B4" s="2" t="s">
        <v>170</v>
      </c>
      <c r="C4" s="2" t="s">
        <v>167</v>
      </c>
      <c r="D4" s="2" t="s">
        <v>171</v>
      </c>
      <c r="E4" s="2" t="s">
        <v>146</v>
      </c>
      <c r="F4" s="8"/>
      <c r="G4" s="8"/>
      <c r="H4" s="8"/>
    </row>
    <row r="5">
      <c r="A5" s="2" t="s">
        <v>172</v>
      </c>
      <c r="B5" s="2" t="s">
        <v>173</v>
      </c>
      <c r="C5" s="2" t="s">
        <v>167</v>
      </c>
      <c r="D5" s="2" t="s">
        <v>171</v>
      </c>
      <c r="E5" s="2" t="s">
        <v>145</v>
      </c>
      <c r="F5" s="8"/>
      <c r="G5" s="8"/>
      <c r="H5" s="8"/>
    </row>
    <row r="6">
      <c r="A6" s="2" t="s">
        <v>174</v>
      </c>
      <c r="B6" s="2" t="s">
        <v>175</v>
      </c>
      <c r="C6" s="2" t="s">
        <v>167</v>
      </c>
      <c r="D6" s="2" t="s">
        <v>171</v>
      </c>
      <c r="E6" s="2" t="s">
        <v>145</v>
      </c>
      <c r="F6" s="8"/>
      <c r="G6" s="8"/>
      <c r="H6" s="8"/>
    </row>
    <row r="7">
      <c r="A7" s="2" t="s">
        <v>176</v>
      </c>
      <c r="B7" s="2" t="s">
        <v>75</v>
      </c>
      <c r="C7" s="2" t="s">
        <v>167</v>
      </c>
      <c r="D7" s="2" t="s">
        <v>171</v>
      </c>
      <c r="E7" s="2" t="s">
        <v>146</v>
      </c>
      <c r="F7" s="8"/>
      <c r="G7" s="8"/>
      <c r="H7" s="8"/>
    </row>
    <row r="8">
      <c r="A8" s="2" t="s">
        <v>177</v>
      </c>
      <c r="B8" s="2" t="s">
        <v>178</v>
      </c>
      <c r="C8" s="2" t="s">
        <v>167</v>
      </c>
      <c r="D8" s="2" t="s">
        <v>179</v>
      </c>
      <c r="E8" s="2" t="s">
        <v>213</v>
      </c>
      <c r="F8" s="8"/>
      <c r="G8" s="8"/>
      <c r="H8" s="8"/>
    </row>
    <row r="9">
      <c r="A9" s="2" t="s">
        <v>180</v>
      </c>
      <c r="B9" s="2" t="s">
        <v>181</v>
      </c>
      <c r="C9" s="2" t="s">
        <v>167</v>
      </c>
      <c r="D9" s="2" t="s">
        <v>171</v>
      </c>
      <c r="E9" s="2" t="s">
        <v>145</v>
      </c>
      <c r="F9" s="8"/>
      <c r="G9" s="8"/>
      <c r="H9" s="8"/>
      <c r="J9" s="21" t="s">
        <v>162</v>
      </c>
      <c r="K9" s="30" t="s">
        <v>141</v>
      </c>
      <c r="L9" s="2" t="s">
        <v>147</v>
      </c>
      <c r="M9" s="2">
        <f>COUNTIF(E3:E26, "ESPAGNOL")</f>
        <v>17</v>
      </c>
    </row>
    <row r="10">
      <c r="A10" s="2" t="s">
        <v>182</v>
      </c>
      <c r="B10" s="2" t="s">
        <v>183</v>
      </c>
      <c r="C10" s="2" t="s">
        <v>167</v>
      </c>
      <c r="D10" s="2" t="s">
        <v>179</v>
      </c>
      <c r="E10" s="2" t="s">
        <v>213</v>
      </c>
      <c r="F10" s="8"/>
      <c r="G10" s="8"/>
      <c r="H10" s="8"/>
      <c r="J10" s="21"/>
      <c r="K10" s="30"/>
      <c r="L10" s="2" t="s">
        <v>148</v>
      </c>
      <c r="M10" s="2">
        <f>COUNTIF(E3:E26, "ITALIEN")</f>
        <v>4</v>
      </c>
    </row>
    <row r="11">
      <c r="A11" s="2" t="s">
        <v>184</v>
      </c>
      <c r="B11" s="2" t="s">
        <v>185</v>
      </c>
      <c r="C11" s="2" t="s">
        <v>167</v>
      </c>
      <c r="D11" s="2" t="s">
        <v>171</v>
      </c>
      <c r="E11" s="2" t="s">
        <v>145</v>
      </c>
      <c r="F11" s="8"/>
      <c r="G11" s="8"/>
      <c r="H11" s="8"/>
      <c r="J11" s="21"/>
      <c r="K11" s="30"/>
      <c r="L11" s="2" t="s">
        <v>149</v>
      </c>
      <c r="M11" s="2">
        <f>COUNTIF(E3:E26, "ALLEMAND")</f>
        <v>0</v>
      </c>
    </row>
    <row r="12" ht="15.75">
      <c r="A12" s="2" t="s">
        <v>186</v>
      </c>
      <c r="B12" s="2" t="s">
        <v>187</v>
      </c>
      <c r="C12" s="2" t="s">
        <v>167</v>
      </c>
      <c r="D12" s="2" t="s">
        <v>171</v>
      </c>
      <c r="E12" s="2" t="s">
        <v>145</v>
      </c>
      <c r="F12" s="8"/>
      <c r="G12" s="8"/>
      <c r="H12" s="8"/>
      <c r="J12" s="21"/>
      <c r="K12" s="31"/>
      <c r="L12" s="12" t="s">
        <v>152</v>
      </c>
      <c r="M12" s="3">
        <f>COUNTIF(E3:E26, "LV 2 NON SUIVIE")</f>
        <v>3</v>
      </c>
    </row>
    <row r="13">
      <c r="A13" s="2" t="s">
        <v>188</v>
      </c>
      <c r="B13" s="2" t="s">
        <v>189</v>
      </c>
      <c r="C13" s="2" t="s">
        <v>167</v>
      </c>
      <c r="D13" s="2" t="s">
        <v>171</v>
      </c>
      <c r="E13" s="2" t="s">
        <v>145</v>
      </c>
      <c r="F13" s="8"/>
      <c r="G13" s="8"/>
      <c r="H13" s="8"/>
      <c r="J13" s="21"/>
      <c r="K13" s="17" t="s">
        <v>155</v>
      </c>
      <c r="L13" s="11" t="s">
        <v>160</v>
      </c>
      <c r="M13" s="13">
        <f>COUNTIF(F3:F26, "X")</f>
        <v>0</v>
      </c>
    </row>
    <row r="14">
      <c r="A14" s="2" t="s">
        <v>190</v>
      </c>
      <c r="B14" s="2" t="s">
        <v>191</v>
      </c>
      <c r="C14" s="2" t="s">
        <v>167</v>
      </c>
      <c r="D14" s="2" t="s">
        <v>171</v>
      </c>
      <c r="E14" s="2" t="s">
        <v>145</v>
      </c>
      <c r="F14" s="8"/>
      <c r="G14" s="8"/>
      <c r="H14" s="8"/>
      <c r="J14" s="21"/>
      <c r="K14" s="18"/>
      <c r="L14" s="5" t="s">
        <v>157</v>
      </c>
      <c r="M14" s="2">
        <f>COUNTIF(G3:G26, "X")</f>
        <v>2</v>
      </c>
    </row>
    <row r="15">
      <c r="A15" s="2" t="s">
        <v>192</v>
      </c>
      <c r="B15" s="2" t="s">
        <v>193</v>
      </c>
      <c r="C15" s="2" t="s">
        <v>167</v>
      </c>
      <c r="D15" s="2" t="s">
        <v>168</v>
      </c>
      <c r="E15" s="2" t="s">
        <v>145</v>
      </c>
      <c r="F15" s="8"/>
      <c r="G15" s="8"/>
      <c r="H15" s="8"/>
      <c r="J15" s="21"/>
      <c r="K15" s="18"/>
      <c r="L15" s="5" t="s">
        <v>161</v>
      </c>
      <c r="M15" s="2">
        <f>COUNTIF(H3:H26, "X")</f>
        <v>0</v>
      </c>
    </row>
    <row r="16">
      <c r="A16" s="2" t="s">
        <v>194</v>
      </c>
      <c r="B16" s="2" t="s">
        <v>195</v>
      </c>
      <c r="C16" s="2" t="s">
        <v>167</v>
      </c>
      <c r="D16" s="2" t="s">
        <v>171</v>
      </c>
      <c r="E16" s="2" t="s">
        <v>145</v>
      </c>
      <c r="F16" s="8"/>
      <c r="G16" s="8" t="s">
        <v>159</v>
      </c>
      <c r="H16" s="8"/>
    </row>
    <row r="17">
      <c r="A17" s="2" t="s">
        <v>196</v>
      </c>
      <c r="B17" s="2" t="s">
        <v>197</v>
      </c>
      <c r="C17" s="2" t="s">
        <v>167</v>
      </c>
      <c r="D17" s="2" t="s">
        <v>168</v>
      </c>
      <c r="E17" s="2" t="s">
        <v>145</v>
      </c>
      <c r="F17" s="8"/>
      <c r="G17" s="8"/>
      <c r="H17" s="8"/>
    </row>
    <row r="18">
      <c r="A18" s="2" t="s">
        <v>198</v>
      </c>
      <c r="B18" s="2" t="s">
        <v>199</v>
      </c>
      <c r="C18" s="2" t="s">
        <v>167</v>
      </c>
      <c r="D18" s="2" t="s">
        <v>179</v>
      </c>
      <c r="E18" s="2" t="s">
        <v>213</v>
      </c>
      <c r="F18" s="8"/>
      <c r="G18" s="8"/>
      <c r="H18" s="8"/>
      <c r="J18" s="23" t="s">
        <v>163</v>
      </c>
      <c r="K18" s="30" t="s">
        <v>141</v>
      </c>
      <c r="L18" s="2" t="s">
        <v>147</v>
      </c>
      <c r="M18" s="2">
        <f>COUNTIF(E27:E51, "ESPAGNOL")</f>
        <v>15</v>
      </c>
    </row>
    <row r="19">
      <c r="A19" s="2" t="s">
        <v>200</v>
      </c>
      <c r="B19" s="2" t="s">
        <v>201</v>
      </c>
      <c r="C19" s="2" t="s">
        <v>167</v>
      </c>
      <c r="D19" s="2" t="s">
        <v>168</v>
      </c>
      <c r="E19" s="2" t="s">
        <v>145</v>
      </c>
      <c r="F19" s="8"/>
      <c r="G19" s="8"/>
      <c r="H19" s="8"/>
      <c r="J19" s="23"/>
      <c r="K19" s="30"/>
      <c r="L19" s="2" t="s">
        <v>148</v>
      </c>
      <c r="M19" s="2">
        <f>COUNTIF(E27:E51, "ITALIEN")</f>
        <v>8</v>
      </c>
    </row>
    <row r="20">
      <c r="A20" s="2" t="s">
        <v>200</v>
      </c>
      <c r="B20" s="2" t="s">
        <v>202</v>
      </c>
      <c r="C20" s="2" t="s">
        <v>167</v>
      </c>
      <c r="D20" s="2" t="s">
        <v>168</v>
      </c>
      <c r="E20" s="2" t="s">
        <v>145</v>
      </c>
      <c r="F20" s="8"/>
      <c r="G20" s="8"/>
      <c r="H20" s="8"/>
      <c r="J20" s="23"/>
      <c r="K20" s="30"/>
      <c r="L20" s="2" t="s">
        <v>149</v>
      </c>
      <c r="M20" s="2">
        <f>COUNTIF(E27:E51, "ALLEMAND")</f>
        <v>0</v>
      </c>
    </row>
    <row r="21" ht="15.75">
      <c r="A21" s="2" t="s">
        <v>94</v>
      </c>
      <c r="B21" s="2" t="s">
        <v>203</v>
      </c>
      <c r="C21" s="2" t="s">
        <v>167</v>
      </c>
      <c r="D21" s="2" t="s">
        <v>168</v>
      </c>
      <c r="E21" s="2" t="s">
        <v>145</v>
      </c>
      <c r="F21" s="8"/>
      <c r="G21" s="8"/>
      <c r="H21" s="8"/>
      <c r="J21" s="23"/>
      <c r="K21" s="32"/>
      <c r="L21" s="14" t="s">
        <v>152</v>
      </c>
      <c r="M21" s="3">
        <f>COUNTIF(E27:E51, "LV 2 NON SUIVIE")</f>
        <v>2</v>
      </c>
    </row>
    <row r="22">
      <c r="A22" s="2" t="s">
        <v>204</v>
      </c>
      <c r="B22" s="2" t="s">
        <v>205</v>
      </c>
      <c r="C22" s="2" t="s">
        <v>167</v>
      </c>
      <c r="D22" s="2" t="s">
        <v>171</v>
      </c>
      <c r="E22" s="2" t="s">
        <v>145</v>
      </c>
      <c r="F22" s="8"/>
      <c r="G22" s="8" t="s">
        <v>159</v>
      </c>
      <c r="H22" s="8"/>
      <c r="J22" s="23"/>
      <c r="K22" s="22" t="s">
        <v>155</v>
      </c>
      <c r="L22" s="15" t="s">
        <v>160</v>
      </c>
      <c r="M22" s="13">
        <f>COUNTIF(F27:F51, "X")</f>
        <v>0</v>
      </c>
    </row>
    <row r="23">
      <c r="A23" s="2" t="s">
        <v>206</v>
      </c>
      <c r="B23" s="2" t="s">
        <v>207</v>
      </c>
      <c r="C23" s="2" t="s">
        <v>167</v>
      </c>
      <c r="D23" s="2" t="s">
        <v>171</v>
      </c>
      <c r="E23" s="2" t="s">
        <v>145</v>
      </c>
      <c r="F23" s="8"/>
      <c r="G23" s="8"/>
      <c r="H23" s="8"/>
      <c r="J23" s="23"/>
      <c r="K23" s="18"/>
      <c r="L23" s="5" t="s">
        <v>157</v>
      </c>
      <c r="M23" s="2">
        <f>COUNTIF(G27:G51, "X")</f>
        <v>4</v>
      </c>
    </row>
    <row r="24">
      <c r="A24" s="2" t="s">
        <v>208</v>
      </c>
      <c r="B24" s="2" t="s">
        <v>126</v>
      </c>
      <c r="C24" s="2" t="s">
        <v>167</v>
      </c>
      <c r="D24" s="2" t="s">
        <v>168</v>
      </c>
      <c r="E24" s="2" t="s">
        <v>146</v>
      </c>
      <c r="F24" s="8"/>
      <c r="G24" s="8"/>
      <c r="H24" s="8"/>
      <c r="J24" s="23"/>
      <c r="K24" s="18"/>
      <c r="L24" s="5" t="s">
        <v>161</v>
      </c>
      <c r="M24" s="2">
        <f>COUNTIF(H27:H51, "X")</f>
        <v>4</v>
      </c>
    </row>
    <row r="25">
      <c r="A25" s="2" t="s">
        <v>209</v>
      </c>
      <c r="B25" s="2" t="s">
        <v>210</v>
      </c>
      <c r="C25" s="2" t="s">
        <v>167</v>
      </c>
      <c r="D25" s="2" t="s">
        <v>171</v>
      </c>
      <c r="E25" s="2" t="s">
        <v>145</v>
      </c>
      <c r="F25" s="8"/>
      <c r="G25" s="8"/>
      <c r="H25" s="8"/>
    </row>
    <row r="26" ht="15.75">
      <c r="A26" s="3" t="s">
        <v>211</v>
      </c>
      <c r="B26" s="3" t="s">
        <v>212</v>
      </c>
      <c r="C26" s="3" t="s">
        <v>167</v>
      </c>
      <c r="D26" s="3" t="s">
        <v>171</v>
      </c>
      <c r="E26" s="3" t="s">
        <v>145</v>
      </c>
      <c r="F26" s="9"/>
      <c r="G26" s="9"/>
      <c r="H26" s="9"/>
    </row>
    <row r="27" ht="15.75" thickTop="1" thickBot="1">
      <c r="A27" s="4" t="s">
        <v>214</v>
      </c>
      <c r="B27" s="4" t="s">
        <v>215</v>
      </c>
      <c r="C27" s="4" t="s">
        <v>216</v>
      </c>
      <c r="D27" s="4" t="s">
        <v>217</v>
      </c>
      <c r="E27" s="4" t="s">
        <v>213</v>
      </c>
      <c r="F27" s="10"/>
      <c r="G27" s="10"/>
      <c r="H27" s="10"/>
      <c r="J27" s="19" t="s">
        <v>164</v>
      </c>
      <c r="K27" s="30" t="s">
        <v>141</v>
      </c>
      <c r="L27" s="2" t="s">
        <v>147</v>
      </c>
      <c r="M27" s="2">
        <f>COUNTIF(E52:E74, "ESPAGNOL")</f>
        <v>17</v>
      </c>
    </row>
    <row r="28">
      <c r="A28" s="2" t="s">
        <v>218</v>
      </c>
      <c r="B28" s="2" t="s">
        <v>219</v>
      </c>
      <c r="C28" s="2" t="s">
        <v>216</v>
      </c>
      <c r="D28" s="2" t="s">
        <v>168</v>
      </c>
      <c r="E28" s="2" t="s">
        <v>145</v>
      </c>
      <c r="F28" s="8"/>
      <c r="G28" s="8"/>
      <c r="H28" s="8"/>
      <c r="J28" s="19"/>
      <c r="K28" s="30"/>
      <c r="L28" s="2" t="s">
        <v>148</v>
      </c>
      <c r="M28" s="2">
        <f>COUNTIF(E52:E74, "ITALIEN")</f>
        <v>0</v>
      </c>
    </row>
    <row r="29">
      <c r="A29" s="2" t="s">
        <v>220</v>
      </c>
      <c r="B29" s="2" t="s">
        <v>221</v>
      </c>
      <c r="C29" s="2" t="s">
        <v>216</v>
      </c>
      <c r="D29" s="2" t="s">
        <v>168</v>
      </c>
      <c r="E29" s="2" t="s">
        <v>145</v>
      </c>
      <c r="F29" s="8"/>
      <c r="G29" s="8" t="s">
        <v>159</v>
      </c>
      <c r="H29" s="8"/>
      <c r="J29" s="19"/>
      <c r="K29" s="30"/>
      <c r="L29" s="2" t="s">
        <v>149</v>
      </c>
      <c r="M29" s="2">
        <f>COUNTIF(E52:E74, "ALLEMAND")</f>
        <v>0</v>
      </c>
    </row>
    <row r="30" ht="15.75">
      <c r="A30" s="2" t="s">
        <v>222</v>
      </c>
      <c r="B30" s="2" t="s">
        <v>126</v>
      </c>
      <c r="C30" s="2" t="s">
        <v>216</v>
      </c>
      <c r="D30" s="2" t="s">
        <v>168</v>
      </c>
      <c r="E30" s="2" t="s">
        <v>145</v>
      </c>
      <c r="F30" s="8"/>
      <c r="G30" s="8"/>
      <c r="H30" s="8" t="s">
        <v>159</v>
      </c>
      <c r="J30" s="19"/>
      <c r="K30" s="31"/>
      <c r="L30" s="14" t="s">
        <v>152</v>
      </c>
      <c r="M30" s="3">
        <f>COUNTIF(E52:E74, "LV 2 NON SUIVIE")</f>
        <v>6</v>
      </c>
    </row>
    <row r="31">
      <c r="A31" s="2" t="s">
        <v>223</v>
      </c>
      <c r="B31" s="2" t="s">
        <v>224</v>
      </c>
      <c r="C31" s="2" t="s">
        <v>216</v>
      </c>
      <c r="D31" s="2" t="s">
        <v>168</v>
      </c>
      <c r="E31" s="2" t="s">
        <v>146</v>
      </c>
      <c r="F31" s="8"/>
      <c r="G31" s="8" t="s">
        <v>159</v>
      </c>
      <c r="H31" s="8"/>
      <c r="J31" s="19"/>
      <c r="K31" s="17" t="s">
        <v>155</v>
      </c>
      <c r="L31" s="15" t="s">
        <v>160</v>
      </c>
      <c r="M31" s="16">
        <f>COUNTIF(F52:F74, "X")</f>
        <v>0</v>
      </c>
    </row>
    <row r="32">
      <c r="A32" s="2" t="s">
        <v>225</v>
      </c>
      <c r="B32" s="2" t="s">
        <v>226</v>
      </c>
      <c r="C32" s="2" t="s">
        <v>216</v>
      </c>
      <c r="D32" s="2" t="s">
        <v>168</v>
      </c>
      <c r="E32" s="2" t="s">
        <v>145</v>
      </c>
      <c r="F32" s="8"/>
      <c r="G32" s="8"/>
      <c r="H32" s="8"/>
      <c r="J32" s="19"/>
      <c r="K32" s="18"/>
      <c r="L32" s="5" t="s">
        <v>157</v>
      </c>
      <c r="M32" s="3">
        <f>COUNTIF(G52:G74, "X")</f>
        <v>2</v>
      </c>
    </row>
    <row r="33">
      <c r="A33" s="2" t="s">
        <v>227</v>
      </c>
      <c r="B33" s="2" t="s">
        <v>63</v>
      </c>
      <c r="C33" s="2" t="s">
        <v>216</v>
      </c>
      <c r="D33" s="2" t="s">
        <v>168</v>
      </c>
      <c r="E33" s="2" t="s">
        <v>146</v>
      </c>
      <c r="F33" s="8"/>
      <c r="G33" s="8"/>
      <c r="H33" s="8"/>
      <c r="J33" s="19"/>
      <c r="K33" s="18"/>
      <c r="L33" s="5" t="s">
        <v>161</v>
      </c>
      <c r="M33" s="2">
        <f>COUNTIF(H52:H74, "X")</f>
        <v>0</v>
      </c>
    </row>
    <row r="34">
      <c r="A34" s="2" t="s">
        <v>228</v>
      </c>
      <c r="B34" s="2" t="s">
        <v>229</v>
      </c>
      <c r="C34" s="2" t="s">
        <v>216</v>
      </c>
      <c r="D34" s="2" t="s">
        <v>168</v>
      </c>
      <c r="E34" s="2" t="s">
        <v>146</v>
      </c>
      <c r="F34" s="8"/>
      <c r="G34" s="8"/>
      <c r="H34" s="8" t="s">
        <v>159</v>
      </c>
    </row>
    <row r="35">
      <c r="A35" s="2" t="s">
        <v>230</v>
      </c>
      <c r="B35" s="2" t="s">
        <v>231</v>
      </c>
      <c r="C35" s="2" t="s">
        <v>216</v>
      </c>
      <c r="D35" s="2" t="s">
        <v>168</v>
      </c>
      <c r="E35" s="2" t="s">
        <v>145</v>
      </c>
      <c r="F35" s="8"/>
      <c r="G35" s="8"/>
      <c r="H35" s="8"/>
    </row>
    <row r="36">
      <c r="A36" s="2" t="s">
        <v>232</v>
      </c>
      <c r="B36" s="2" t="s">
        <v>233</v>
      </c>
      <c r="C36" s="2" t="s">
        <v>216</v>
      </c>
      <c r="D36" s="2" t="s">
        <v>168</v>
      </c>
      <c r="E36" s="2" t="s">
        <v>146</v>
      </c>
      <c r="F36" s="8"/>
      <c r="G36" s="8"/>
      <c r="H36" s="8"/>
    </row>
    <row r="37">
      <c r="A37" s="2" t="s">
        <v>234</v>
      </c>
      <c r="B37" s="2" t="s">
        <v>235</v>
      </c>
      <c r="C37" s="2" t="s">
        <v>216</v>
      </c>
      <c r="D37" s="2" t="s">
        <v>168</v>
      </c>
      <c r="E37" s="2" t="s">
        <v>146</v>
      </c>
      <c r="F37" s="8"/>
      <c r="G37" s="8"/>
      <c r="H37" s="8"/>
    </row>
    <row r="38">
      <c r="A38" s="2" t="s">
        <v>236</v>
      </c>
      <c r="B38" s="2" t="s">
        <v>237</v>
      </c>
      <c r="C38" s="2" t="s">
        <v>216</v>
      </c>
      <c r="D38" s="2" t="s">
        <v>168</v>
      </c>
      <c r="E38" s="2" t="s">
        <v>146</v>
      </c>
      <c r="F38" s="8"/>
      <c r="G38" s="8"/>
      <c r="H38" s="8"/>
    </row>
    <row r="39">
      <c r="A39" s="2" t="s">
        <v>238</v>
      </c>
      <c r="B39" s="2" t="s">
        <v>59</v>
      </c>
      <c r="C39" s="2" t="s">
        <v>216</v>
      </c>
      <c r="D39" s="2" t="s">
        <v>168</v>
      </c>
      <c r="E39" s="2" t="s">
        <v>145</v>
      </c>
      <c r="F39" s="8"/>
      <c r="G39" s="8"/>
      <c r="H39" s="8" t="s">
        <v>159</v>
      </c>
    </row>
    <row r="40">
      <c r="A40" s="2" t="s">
        <v>239</v>
      </c>
      <c r="B40" s="2" t="s">
        <v>240</v>
      </c>
      <c r="C40" s="2" t="s">
        <v>216</v>
      </c>
      <c r="D40" s="2" t="s">
        <v>168</v>
      </c>
      <c r="E40" s="2" t="s">
        <v>146</v>
      </c>
      <c r="F40" s="8"/>
      <c r="G40" s="8"/>
      <c r="H40" s="8"/>
    </row>
    <row r="41">
      <c r="A41" s="2" t="s">
        <v>241</v>
      </c>
      <c r="B41" s="2" t="s">
        <v>242</v>
      </c>
      <c r="C41" s="2" t="s">
        <v>216</v>
      </c>
      <c r="D41" s="2" t="s">
        <v>168</v>
      </c>
      <c r="E41" s="2" t="s">
        <v>145</v>
      </c>
      <c r="F41" s="8"/>
      <c r="G41" s="8" t="s">
        <v>159</v>
      </c>
      <c r="H41" s="8"/>
    </row>
    <row r="42">
      <c r="A42" s="2" t="s">
        <v>243</v>
      </c>
      <c r="B42" s="2" t="s">
        <v>244</v>
      </c>
      <c r="C42" s="2" t="s">
        <v>216</v>
      </c>
      <c r="D42" s="2" t="s">
        <v>217</v>
      </c>
      <c r="E42" s="2" t="s">
        <v>213</v>
      </c>
      <c r="F42" s="8"/>
      <c r="G42" s="8"/>
      <c r="H42" s="8"/>
    </row>
    <row r="43">
      <c r="A43" s="2" t="s">
        <v>245</v>
      </c>
      <c r="B43" s="2" t="s">
        <v>246</v>
      </c>
      <c r="C43" s="2" t="s">
        <v>216</v>
      </c>
      <c r="D43" s="2" t="s">
        <v>168</v>
      </c>
      <c r="E43" s="2" t="s">
        <v>145</v>
      </c>
      <c r="F43" s="8"/>
      <c r="G43" s="8"/>
      <c r="H43" s="8"/>
    </row>
    <row r="44">
      <c r="A44" s="2" t="s">
        <v>247</v>
      </c>
      <c r="B44" s="2" t="s">
        <v>248</v>
      </c>
      <c r="C44" s="2" t="s">
        <v>216</v>
      </c>
      <c r="D44" s="2" t="s">
        <v>168</v>
      </c>
      <c r="E44" s="2" t="s">
        <v>145</v>
      </c>
      <c r="F44" s="8"/>
      <c r="G44" s="8"/>
      <c r="H44" s="8"/>
    </row>
    <row r="45">
      <c r="A45" s="2" t="s">
        <v>249</v>
      </c>
      <c r="B45" s="2" t="s">
        <v>250</v>
      </c>
      <c r="C45" s="2" t="s">
        <v>216</v>
      </c>
      <c r="D45" s="2" t="s">
        <v>168</v>
      </c>
      <c r="E45" s="2" t="s">
        <v>145</v>
      </c>
      <c r="F45" s="8"/>
      <c r="G45" s="8"/>
      <c r="H45" s="8"/>
    </row>
    <row r="46">
      <c r="A46" s="2" t="s">
        <v>251</v>
      </c>
      <c r="B46" s="2" t="s">
        <v>242</v>
      </c>
      <c r="C46" s="2" t="s">
        <v>216</v>
      </c>
      <c r="D46" s="2" t="s">
        <v>168</v>
      </c>
      <c r="E46" s="2" t="s">
        <v>145</v>
      </c>
      <c r="F46" s="8"/>
      <c r="G46" s="8"/>
      <c r="H46" s="8"/>
    </row>
    <row r="47">
      <c r="A47" s="2" t="s">
        <v>252</v>
      </c>
      <c r="B47" s="2" t="s">
        <v>253</v>
      </c>
      <c r="C47" s="2" t="s">
        <v>216</v>
      </c>
      <c r="D47" s="2" t="s">
        <v>168</v>
      </c>
      <c r="E47" s="2" t="s">
        <v>145</v>
      </c>
      <c r="F47" s="8"/>
      <c r="G47" s="8" t="s">
        <v>159</v>
      </c>
      <c r="H47" s="8"/>
    </row>
    <row r="48">
      <c r="A48" s="2" t="s">
        <v>254</v>
      </c>
      <c r="B48" s="2" t="s">
        <v>255</v>
      </c>
      <c r="C48" s="2" t="s">
        <v>216</v>
      </c>
      <c r="D48" s="2" t="s">
        <v>168</v>
      </c>
      <c r="E48" s="2" t="s">
        <v>145</v>
      </c>
      <c r="F48" s="8"/>
      <c r="G48" s="8"/>
      <c r="H48" s="8"/>
    </row>
    <row r="49">
      <c r="A49" s="2" t="s">
        <v>256</v>
      </c>
      <c r="B49" s="2" t="s">
        <v>257</v>
      </c>
      <c r="C49" s="2" t="s">
        <v>216</v>
      </c>
      <c r="D49" s="2" t="s">
        <v>168</v>
      </c>
      <c r="E49" s="2" t="s">
        <v>146</v>
      </c>
      <c r="F49" s="8"/>
      <c r="G49" s="8"/>
      <c r="H49" s="8"/>
    </row>
    <row r="50">
      <c r="A50" s="2" t="s">
        <v>258</v>
      </c>
      <c r="B50" s="2" t="s">
        <v>259</v>
      </c>
      <c r="C50" s="2" t="s">
        <v>216</v>
      </c>
      <c r="D50" s="2" t="s">
        <v>168</v>
      </c>
      <c r="E50" s="2" t="s">
        <v>145</v>
      </c>
      <c r="F50" s="8"/>
      <c r="G50" s="8"/>
      <c r="H50" s="8" t="s">
        <v>159</v>
      </c>
    </row>
    <row r="51" ht="15.75">
      <c r="A51" s="3" t="s">
        <v>260</v>
      </c>
      <c r="B51" s="3" t="s">
        <v>261</v>
      </c>
      <c r="C51" s="3" t="s">
        <v>216</v>
      </c>
      <c r="D51" s="3" t="s">
        <v>168</v>
      </c>
      <c r="E51" s="3" t="s">
        <v>145</v>
      </c>
      <c r="F51" s="9"/>
      <c r="G51" s="9"/>
      <c r="H51" s="9"/>
    </row>
    <row r="52" ht="15.75" thickTop="1" thickBot="1">
      <c r="A52" s="4" t="s">
        <v>262</v>
      </c>
      <c r="B52" s="4" t="s">
        <v>263</v>
      </c>
      <c r="C52" s="4" t="s">
        <v>264</v>
      </c>
      <c r="D52" s="4" t="s">
        <v>168</v>
      </c>
      <c r="E52" s="4" t="s">
        <v>145</v>
      </c>
      <c r="F52" s="10"/>
      <c r="G52" s="10"/>
      <c r="H52" s="10"/>
    </row>
    <row r="53">
      <c r="A53" s="2" t="s">
        <v>265</v>
      </c>
      <c r="B53" s="2" t="s">
        <v>266</v>
      </c>
      <c r="C53" s="2" t="s">
        <v>264</v>
      </c>
      <c r="D53" s="2" t="s">
        <v>168</v>
      </c>
      <c r="E53" s="2" t="s">
        <v>145</v>
      </c>
      <c r="F53" s="8"/>
      <c r="G53" s="8"/>
      <c r="H53" s="8"/>
    </row>
    <row r="54">
      <c r="A54" s="2" t="s">
        <v>267</v>
      </c>
      <c r="B54" s="2" t="s">
        <v>268</v>
      </c>
      <c r="C54" s="2" t="s">
        <v>264</v>
      </c>
      <c r="D54" s="2" t="s">
        <v>168</v>
      </c>
      <c r="E54" s="2" t="s">
        <v>145</v>
      </c>
      <c r="F54" s="8"/>
      <c r="G54" s="8" t="s">
        <v>159</v>
      </c>
      <c r="H54" s="8"/>
    </row>
    <row r="55">
      <c r="A55" s="2" t="s">
        <v>269</v>
      </c>
      <c r="B55" s="2" t="s">
        <v>270</v>
      </c>
      <c r="C55" s="2" t="s">
        <v>264</v>
      </c>
      <c r="D55" s="2" t="s">
        <v>168</v>
      </c>
      <c r="E55" s="2" t="s">
        <v>145</v>
      </c>
      <c r="F55" s="8"/>
      <c r="G55" s="8"/>
      <c r="H55" s="8"/>
    </row>
    <row r="56">
      <c r="A56" s="2" t="s">
        <v>271</v>
      </c>
      <c r="B56" s="2" t="s">
        <v>272</v>
      </c>
      <c r="C56" s="2" t="s">
        <v>264</v>
      </c>
      <c r="D56" s="2" t="s">
        <v>217</v>
      </c>
      <c r="E56" s="2" t="s">
        <v>213</v>
      </c>
      <c r="F56" s="8"/>
      <c r="G56" s="8"/>
      <c r="H56" s="8"/>
    </row>
    <row r="57">
      <c r="A57" s="2" t="s">
        <v>273</v>
      </c>
      <c r="B57" s="2" t="s">
        <v>274</v>
      </c>
      <c r="C57" s="2" t="s">
        <v>264</v>
      </c>
      <c r="D57" s="2" t="s">
        <v>168</v>
      </c>
      <c r="E57" s="2" t="s">
        <v>145</v>
      </c>
      <c r="F57" s="8"/>
      <c r="G57" s="8"/>
      <c r="H57" s="8"/>
    </row>
    <row r="58">
      <c r="A58" s="2" t="s">
        <v>275</v>
      </c>
      <c r="B58" s="2" t="s">
        <v>276</v>
      </c>
      <c r="C58" s="2" t="s">
        <v>264</v>
      </c>
      <c r="D58" s="2" t="s">
        <v>179</v>
      </c>
      <c r="E58" s="2" t="s">
        <v>213</v>
      </c>
      <c r="F58" s="8"/>
      <c r="G58" s="8"/>
      <c r="H58" s="8"/>
    </row>
    <row r="59">
      <c r="A59" s="2" t="s">
        <v>277</v>
      </c>
      <c r="B59" s="2" t="s">
        <v>278</v>
      </c>
      <c r="C59" s="2" t="s">
        <v>264</v>
      </c>
      <c r="D59" s="2" t="s">
        <v>168</v>
      </c>
      <c r="E59" s="2" t="s">
        <v>145</v>
      </c>
      <c r="F59" s="8"/>
      <c r="G59" s="8"/>
      <c r="H59" s="8"/>
    </row>
    <row r="60">
      <c r="A60" s="2" t="s">
        <v>279</v>
      </c>
      <c r="B60" s="2" t="s">
        <v>240</v>
      </c>
      <c r="C60" s="2" t="s">
        <v>264</v>
      </c>
      <c r="D60" s="2" t="s">
        <v>168</v>
      </c>
      <c r="E60" s="2" t="s">
        <v>145</v>
      </c>
      <c r="F60" s="8"/>
      <c r="G60" s="8"/>
      <c r="H60" s="8"/>
    </row>
    <row r="61">
      <c r="A61" s="2" t="s">
        <v>280</v>
      </c>
      <c r="B61" s="2" t="s">
        <v>281</v>
      </c>
      <c r="C61" s="2" t="s">
        <v>264</v>
      </c>
      <c r="D61" s="2" t="s">
        <v>168</v>
      </c>
      <c r="E61" s="2" t="s">
        <v>145</v>
      </c>
      <c r="F61" s="8"/>
      <c r="G61" s="8"/>
      <c r="H61" s="8"/>
    </row>
    <row r="62">
      <c r="A62" s="2" t="s">
        <v>188</v>
      </c>
      <c r="B62" s="2" t="s">
        <v>282</v>
      </c>
      <c r="C62" s="2" t="s">
        <v>264</v>
      </c>
      <c r="D62" s="2" t="s">
        <v>168</v>
      </c>
      <c r="E62" s="2" t="s">
        <v>145</v>
      </c>
      <c r="F62" s="8"/>
      <c r="G62" s="8"/>
      <c r="H62" s="8"/>
    </row>
    <row r="63">
      <c r="A63" s="2" t="s">
        <v>283</v>
      </c>
      <c r="B63" s="2" t="s">
        <v>284</v>
      </c>
      <c r="C63" s="2" t="s">
        <v>264</v>
      </c>
      <c r="D63" s="2" t="s">
        <v>168</v>
      </c>
      <c r="E63" s="2" t="s">
        <v>145</v>
      </c>
      <c r="F63" s="8"/>
      <c r="G63" s="8"/>
      <c r="H63" s="8"/>
    </row>
    <row r="64">
      <c r="A64" s="2" t="s">
        <v>285</v>
      </c>
      <c r="B64" s="2" t="s">
        <v>286</v>
      </c>
      <c r="C64" s="2" t="s">
        <v>264</v>
      </c>
      <c r="D64" s="2" t="s">
        <v>168</v>
      </c>
      <c r="E64" s="2" t="s">
        <v>145</v>
      </c>
      <c r="F64" s="8"/>
      <c r="G64" s="8"/>
      <c r="H64" s="8"/>
    </row>
    <row r="65">
      <c r="A65" s="2" t="s">
        <v>287</v>
      </c>
      <c r="B65" s="2" t="s">
        <v>288</v>
      </c>
      <c r="C65" s="2" t="s">
        <v>264</v>
      </c>
      <c r="D65" s="2" t="s">
        <v>168</v>
      </c>
      <c r="E65" s="2" t="s">
        <v>145</v>
      </c>
      <c r="F65" s="8"/>
      <c r="G65" s="8"/>
      <c r="H65" s="8"/>
    </row>
    <row r="66">
      <c r="A66" s="2" t="s">
        <v>289</v>
      </c>
      <c r="B66" s="2" t="s">
        <v>290</v>
      </c>
      <c r="C66" s="2" t="s">
        <v>264</v>
      </c>
      <c r="D66" s="2" t="s">
        <v>179</v>
      </c>
      <c r="E66" s="2" t="s">
        <v>213</v>
      </c>
      <c r="F66" s="8"/>
      <c r="G66" s="8"/>
      <c r="H66" s="8"/>
    </row>
    <row r="67">
      <c r="A67" s="2" t="s">
        <v>291</v>
      </c>
      <c r="B67" s="2" t="s">
        <v>75</v>
      </c>
      <c r="C67" s="2" t="s">
        <v>264</v>
      </c>
      <c r="D67" s="2" t="s">
        <v>179</v>
      </c>
      <c r="E67" s="2" t="s">
        <v>213</v>
      </c>
      <c r="F67" s="8"/>
      <c r="G67" s="8"/>
      <c r="H67" s="8"/>
    </row>
    <row r="68">
      <c r="A68" s="2" t="s">
        <v>292</v>
      </c>
      <c r="B68" s="2" t="s">
        <v>293</v>
      </c>
      <c r="C68" s="2" t="s">
        <v>264</v>
      </c>
      <c r="D68" s="2" t="s">
        <v>168</v>
      </c>
      <c r="E68" s="2" t="s">
        <v>145</v>
      </c>
      <c r="F68" s="8"/>
      <c r="G68" s="8"/>
      <c r="H68" s="8"/>
    </row>
    <row r="69">
      <c r="A69" s="2" t="s">
        <v>94</v>
      </c>
      <c r="B69" s="2" t="s">
        <v>294</v>
      </c>
      <c r="C69" s="2" t="s">
        <v>264</v>
      </c>
      <c r="D69" s="2" t="s">
        <v>168</v>
      </c>
      <c r="E69" s="2" t="s">
        <v>145</v>
      </c>
      <c r="F69" s="8"/>
      <c r="G69" s="8" t="s">
        <v>159</v>
      </c>
      <c r="H69" s="8"/>
    </row>
    <row r="70">
      <c r="A70" s="2" t="s">
        <v>295</v>
      </c>
      <c r="B70" s="2" t="s">
        <v>296</v>
      </c>
      <c r="C70" s="2" t="s">
        <v>264</v>
      </c>
      <c r="D70" s="2" t="s">
        <v>168</v>
      </c>
      <c r="E70" s="2" t="s">
        <v>145</v>
      </c>
      <c r="F70" s="8"/>
      <c r="G70" s="8"/>
      <c r="H70" s="8"/>
    </row>
    <row r="71">
      <c r="A71" s="2" t="s">
        <v>297</v>
      </c>
      <c r="B71" s="2" t="s">
        <v>298</v>
      </c>
      <c r="C71" s="2" t="s">
        <v>264</v>
      </c>
      <c r="D71" s="2" t="s">
        <v>168</v>
      </c>
      <c r="E71" s="2" t="s">
        <v>145</v>
      </c>
      <c r="F71" s="8"/>
      <c r="G71" s="8"/>
      <c r="H71" s="8"/>
    </row>
    <row r="72">
      <c r="A72" s="2" t="s">
        <v>299</v>
      </c>
      <c r="B72" s="2" t="s">
        <v>300</v>
      </c>
      <c r="C72" s="2" t="s">
        <v>264</v>
      </c>
      <c r="D72" s="2" t="s">
        <v>217</v>
      </c>
      <c r="E72" s="2" t="s">
        <v>213</v>
      </c>
      <c r="F72" s="8"/>
      <c r="G72" s="8"/>
      <c r="H72" s="8"/>
    </row>
    <row r="73">
      <c r="A73" s="2" t="s">
        <v>301</v>
      </c>
      <c r="B73" s="2" t="s">
        <v>302</v>
      </c>
      <c r="C73" s="2" t="s">
        <v>264</v>
      </c>
      <c r="D73" s="2" t="s">
        <v>179</v>
      </c>
      <c r="E73" s="2" t="s">
        <v>213</v>
      </c>
      <c r="F73" s="8"/>
      <c r="G73" s="8"/>
      <c r="H73" s="8"/>
    </row>
    <row r="74">
      <c r="A74" s="2" t="s">
        <v>303</v>
      </c>
      <c r="B74" s="2" t="s">
        <v>304</v>
      </c>
      <c r="C74" s="2" t="s">
        <v>264</v>
      </c>
      <c r="D74" s="2" t="s">
        <v>168</v>
      </c>
      <c r="E74" s="2" t="s">
        <v>145</v>
      </c>
      <c r="F74" s="8"/>
      <c r="G74" s="8"/>
      <c r="H74" s="8"/>
    </row>
  </sheetData>
  <mergeCells count="13">
    <mergeCell ref="K9:K12"/>
    <mergeCell ref="K13:K15"/>
    <mergeCell ref="J18:J24"/>
    <mergeCell ref="K18:K21"/>
    <mergeCell ref="K22:K24"/>
    <mergeCell ref="J27:J33"/>
    <mergeCell ref="K27:K30"/>
    <mergeCell ref="K31:K33"/>
    <mergeCell ref="F1:H1"/>
    <mergeCell ref="A1:B2"/>
    <mergeCell ref="C1:D2"/>
    <mergeCell ref="E1:E2"/>
    <mergeCell ref="J9:J15"/>
  </mergeCells>
  <pageMargins left="0.69999999999999996" right="0.69999999999999996" top="0.75" bottom="0.75" header="0.29999999999999999" footer="0.299999999999999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>CG76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secretaire</dc:creator>
  <cp:lastModifiedBy>secretaire</cp:lastModifiedBy>
  <dcterms:created xsi:type="dcterms:W3CDTF">2026-05-29T11:56:18Z</dcterms:created>
  <dcterms:modified xsi:type="dcterms:W3CDTF">2026-06-03T11:01:13Z</dcterms:modified>
</cp:coreProperties>
</file>